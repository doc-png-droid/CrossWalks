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491e977e044164" /></Relationships>
</file>

<file path=xl/workbook.xml><?xml version="1.0" encoding="utf-8"?>
<x:workbook xmlns:x="http://schemas.openxmlformats.org/spreadsheetml/2006/main">
  <x:sheets>
    <x:sheet xmlns:r="http://schemas.openxmlformats.org/officeDocument/2006/relationships" name="Executive View" sheetId="1" r:id="R7a12052bd992486a"/>
    <x:sheet xmlns:r="http://schemas.openxmlformats.org/officeDocument/2006/relationships" name="Course Matrix" sheetId="2" r:id="R39c198b930ec4015"/>
    <x:sheet xmlns:r="http://schemas.openxmlformats.org/officeDocument/2006/relationships" name="Course Evidence" sheetId="3" r:id="R2d2d56ec97a04a74"/>
    <x:sheet xmlns:r="http://schemas.openxmlformats.org/officeDocument/2006/relationships" name="Habit Guide" sheetId="4" r:id="Rd321c9828d5e4763"/>
    <x:sheet xmlns:r="http://schemas.openxmlformats.org/officeDocument/2006/relationships" name="Method &amp; Sources" sheetId="5" r:id="R47000da55695481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20">
    <x:font>
      <x:sz val="11"/>
      <x:name val="Carlito"/>
    </x:font>
    <x:font>
      <x:b/>
      <x:sz val="20"/>
      <x:color rgb="FFFFFFFF"/>
      <x:name val="Carlito"/>
    </x:font>
    <x:font>
      <x:i/>
      <x:sz val="10"/>
      <x:color rgb="FF667085"/>
      <x:name val="Carlito"/>
    </x:font>
    <x:font>
      <x:b/>
      <x:sz val="18"/>
      <x:color rgb="FFFFFFFF"/>
      <x:name val="Carlito"/>
    </x:font>
    <x:font>
      <x:b/>
      <x:sz val="10"/>
      <x:color rgb="FF25313D"/>
      <x:name val="Carlito"/>
    </x:font>
    <x:font>
      <x:sz val="10"/>
      <x:color rgb="FF25313D"/>
      <x:name val="Carlito"/>
    </x:font>
    <x:font>
      <x:i/>
      <x:sz val="10"/>
      <x:color rgb="FF25313D"/>
      <x:name val="Carlito"/>
    </x:font>
    <x:font>
      <x:b/>
      <x:sz val="9"/>
      <x:color rgb="FFFFFFFF"/>
      <x:name val="Carlito"/>
    </x:font>
    <x:font>
      <x:sz val="9"/>
      <x:color rgb="FF25313D"/>
      <x:name val="Carlito"/>
    </x:font>
    <x:font>
      <x:b/>
      <x:sz val="9"/>
      <x:color rgb="FF25313D"/>
      <x:name val="Carlito"/>
    </x:font>
    <x:font>
      <x:b/>
      <x:sz val="10"/>
      <x:color rgb="FFB84F00"/>
      <x:name val="Carlito"/>
    </x:font>
    <x:font>
      <x:sz val="10"/>
      <x:color rgb="FFFFFFFF"/>
      <x:name val="Carlito"/>
    </x:font>
    <x:font>
      <x:b/>
      <x:sz val="8"/>
      <x:color rgb="FFFFFFFF"/>
      <x:name val="Carlito"/>
    </x:font>
    <x:font>
      <x:sz val="8"/>
      <x:color rgb="FF25313D"/>
      <x:name val="Carlito"/>
    </x:font>
    <x:font>
      <x:b/>
      <x:sz val="8"/>
      <x:color rgb="FF25313D"/>
      <x:name val="Carlito"/>
    </x:font>
    <x:font>
      <x:b/>
      <x:sz val="8"/>
      <x:color rgb="FFB84F00"/>
      <x:name val="Carlito"/>
    </x:font>
    <x:font>
      <x:i/>
      <x:sz val="9"/>
      <x:color rgb="FF25313D"/>
      <x:name val="Carlito"/>
    </x:font>
    <x:font>
      <x:b/>
      <x:sz val="9"/>
      <x:color rgb="FF667085"/>
      <x:name val="Carlito"/>
    </x:font>
    <x:font>
      <x:b/>
      <x:sz val="9"/>
      <x:color rgb="FFB84F00"/>
      <x:name val="Carlito"/>
    </x:font>
    <x:font>
      <x:b/>
      <x:sz val="10"/>
      <x:color rgb="FFFFFFFF"/>
      <x:name val="Carlito"/>
    </x:font>
  </x:fonts>
  <x:fills count="14">
    <x:fill>
      <x:patternFill patternType="none"/>
    </x:fill>
    <x:fill>
      <x:patternFill patternType="gray125"/>
    </x:fill>
    <x:fill>
      <x:patternFill patternType="solid">
        <x:fgColor rgb="FFB84F00"/>
      </x:patternFill>
    </x:fill>
    <x:fill>
      <x:patternFill patternType="solid">
        <x:fgColor rgb="FF243447"/>
      </x:patternFill>
    </x:fill>
    <x:fill>
      <x:patternFill patternType="solid">
        <x:fgColor rgb="FFF2F4F7"/>
      </x:patternFill>
    </x:fill>
    <x:fill>
      <x:patternFill patternType="solid">
        <x:fgColor rgb="FFFCE2C5"/>
      </x:patternFill>
    </x:fill>
    <x:fill>
      <x:patternFill patternType="solid">
        <x:fgColor rgb="FFE8F1FB"/>
      </x:patternFill>
    </x:fill>
    <x:fill>
      <x:patternFill patternType="solid">
        <x:fgColor rgb="FFEAF6EF"/>
      </x:patternFill>
    </x:fill>
    <x:fill>
      <x:patternFill patternType="solid">
        <x:fgColor rgb="FFFFF3D6"/>
      </x:patternFill>
    </x:fill>
    <x:fill>
      <x:patternFill patternType="solid">
        <x:fgColor rgb="FFF3EAF8"/>
      </x:patternFill>
    </x:fill>
    <x:fill>
      <x:patternFill patternType="solid">
        <x:fgColor rgb="FFF29A3F"/>
      </x:patternFill>
    </x:fill>
    <x:fill>
      <x:patternFill patternType="solid">
        <x:fgColor rgb="FFFBE0C2"/>
      </x:patternFill>
    </x:fill>
    <x:fill>
      <x:patternFill patternType="solid">
        <x:fgColor rgb="FFEEF1F4"/>
      </x:patternFill>
    </x:fill>
    <x:fill>
      <x:patternFill patternType="solid">
        <x:fgColor rgb="FFFAFAFA"/>
      </x:patternFill>
    </x:fill>
  </x:fills>
  <x:borders count="7">
    <x:border/>
    <x:border>
      <x:left style="medium">
        <x:color rgb="FF243447"/>
      </x:left>
      <x:top style="medium">
        <x:color rgb="FF243447"/>
      </x:top>
      <x:bottom style="medium">
        <x:color rgb="FF243447"/>
      </x:bottom>
    </x:border>
    <x:border>
      <x:top style="medium">
        <x:color rgb="FF243447"/>
      </x:top>
      <x:bottom style="medium">
        <x:color rgb="FF243447"/>
      </x:bottom>
    </x:border>
    <x:border>
      <x:right style="medium">
        <x:color rgb="FF243447"/>
      </x:right>
      <x:top style="medium">
        <x:color rgb="FF243447"/>
      </x:top>
      <x:bottom style="medium">
        <x:color rgb="FF243447"/>
      </x:bottom>
    </x:border>
    <x:border>
      <x:bottom style="thin">
        <x:color rgb="FFD0D5DD"/>
      </x:bottom>
    </x:border>
    <x:border>
      <x:top style="thin">
        <x:color rgb="FFD0D5DD"/>
      </x:top>
      <x:bottom style="thin">
        <x:color rgb="FFD0D5DD"/>
      </x:bottom>
    </x:border>
    <x:border>
      <x:top style="thin">
        <x:color rgb="FFD0D5DD"/>
      </x:top>
    </x:border>
  </x:borders>
  <x:cellStyleXfs count="1">
    <x:xf numFmtId="0" fontId="0" fillId="0" borderId="0"/>
  </x:cellStyleXfs>
  <x:cellXfs count="1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7" fillId="3" borderId="0" xfId="0" applyNumberFormat="1" applyFont="1" applyFill="1" applyBorder="1"/>
    <x:xf numFmtId="0" fontId="7" fillId="3" borderId="1" xfId="0" applyNumberFormat="1" applyFont="1" applyFill="1" applyBorder="1"/>
    <x:xf numFmtId="0" fontId="7" fillId="3" borderId="2" xfId="0" applyNumberFormat="1" applyFont="1" applyFill="1" applyBorder="1"/>
    <x:xf numFmtId="0" fontId="7" fillId="3" borderId="3" xfId="0" applyNumberFormat="1" applyFont="1" applyFill="1" applyBorder="1"/>
    <x:xf numFmtId="0" fontId="7" fillId="3" borderId="1" xfId="0" applyNumberFormat="1" applyFont="1" applyFill="1" applyBorder="1" applyAlignment="1">
      <x:alignment wrapText="1"/>
    </x:xf>
    <x:xf numFmtId="0" fontId="7" fillId="3" borderId="2" xfId="0" applyNumberFormat="1" applyFont="1" applyFill="1" applyBorder="1" applyAlignment="1">
      <x:alignment wrapText="1"/>
    </x:xf>
    <x:xf numFmtId="0" fontId="7" fillId="3" borderId="3" xfId="0" applyNumberFormat="1" applyFont="1" applyFill="1" applyBorder="1" applyAlignment="1">
      <x:alignment wrapText="1"/>
    </x:xf>
    <x:xf numFmtId="0" fontId="7" fillId="3" borderId="1" xfId="0" applyNumberFormat="1" applyFont="1" applyFill="1" applyBorder="1" applyAlignment="1">
      <x:alignment horizontal="center" wrapText="1"/>
    </x:xf>
    <x:xf numFmtId="0" fontId="7" fillId="3" borderId="2" xfId="0" applyNumberFormat="1" applyFont="1" applyFill="1" applyBorder="1" applyAlignment="1">
      <x:alignment horizontal="center" wrapText="1"/>
    </x:xf>
    <x:xf numFmtId="0" fontId="7" fillId="3" borderId="3" xfId="0" applyNumberFormat="1" applyFont="1" applyFill="1" applyBorder="1" applyAlignment="1">
      <x:alignment horizontal="center" wrapText="1"/>
    </x:xf>
    <x:xf numFmtId="0" fontId="7" fillId="3" borderId="1" xfId="0" applyNumberFormat="1" applyFont="1" applyFill="1" applyBorder="1" applyAlignment="1">
      <x:alignment horizontal="center" vertical="center" wrapText="1"/>
    </x:xf>
    <x:xf numFmtId="0" fontId="7" fillId="3" borderId="2" xfId="0" applyNumberFormat="1" applyFont="1" applyFill="1" applyBorder="1" applyAlignment="1">
      <x:alignment horizontal="center" vertical="center" wrapText="1"/>
    </x:xf>
    <x:xf numFmtId="0" fontId="7" fillId="3" borderId="3" xfId="0" applyNumberFormat="1" applyFont="1" applyFill="1" applyBorder="1" applyAlignment="1">
      <x:alignment horizontal="center" vertical="center" wrapText="1"/>
    </x:xf>
    <x:xf numFmtId="0" fontId="8" fillId="0" borderId="0"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4" xfId="0" applyNumberFormat="1" applyFont="1" applyFill="1" applyBorder="1" applyAlignment="1">
      <x:alignment vertical="center"/>
    </x:xf>
    <x:xf numFmtId="0" fontId="8" fillId="0" borderId="5" xfId="0" applyNumberFormat="1" applyFont="1" applyFill="1" applyBorder="1" applyAlignment="1">
      <x:alignment vertical="center"/>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9" fillId="0" borderId="4" xfId="0" applyNumberFormat="1" applyFont="1" applyFill="1" applyBorder="1" applyAlignment="1">
      <x:alignment vertical="center"/>
    </x:xf>
    <x:xf numFmtId="0" fontId="9" fillId="0" borderId="5" xfId="0" applyNumberFormat="1" applyFont="1" applyFill="1" applyBorder="1" applyAlignment="1">
      <x:alignment vertical="center"/>
    </x:xf>
    <x:xf numFmtId="200" fontId="9" fillId="0" borderId="4" xfId="0" applyNumberFormat="1" applyFont="1" applyFill="1" applyBorder="1" applyAlignment="1">
      <x:alignment vertical="center"/>
    </x:xf>
    <x:xf numFmtId="200" fontId="9" fillId="0" borderId="5" xfId="0" applyNumberFormat="1" applyFont="1" applyFill="1" applyBorder="1" applyAlignment="1">
      <x:alignment vertical="center"/>
    </x:xf>
    <x:xf numFmtId="200" fontId="9" fillId="0" borderId="4" xfId="0" applyNumberFormat="1" applyFont="1" applyFill="1" applyBorder="1" applyAlignment="1">
      <x:alignment horizontal="center" vertical="center"/>
    </x:xf>
    <x:xf numFmtId="200" fontId="9" fillId="0" borderId="5" xfId="0" applyNumberFormat="1" applyFont="1" applyFill="1" applyBorder="1" applyAlignment="1">
      <x:alignment horizontal="center" vertical="center"/>
    </x:xf>
    <x:xf numFmtId="0" fontId="8" fillId="6" borderId="4" xfId="0" applyNumberFormat="1" applyFont="1" applyFill="1" applyBorder="1" applyAlignment="1">
      <x:alignment vertical="center"/>
    </x:xf>
    <x:xf numFmtId="0" fontId="8" fillId="6" borderId="4" xfId="0" applyNumberFormat="1" applyFont="1" applyFill="1" applyBorder="1" applyAlignment="1">
      <x:alignment vertical="center" wrapText="1"/>
    </x:xf>
    <x:xf numFmtId="0" fontId="8" fillId="6" borderId="5" xfId="0" applyNumberFormat="1" applyFont="1" applyFill="1" applyBorder="1" applyAlignment="1">
      <x:alignment vertical="center"/>
    </x:xf>
    <x:xf numFmtId="0" fontId="8" fillId="6" borderId="5" xfId="0" applyNumberFormat="1" applyFont="1" applyFill="1" applyBorder="1" applyAlignment="1">
      <x:alignment vertical="center" wrapText="1"/>
    </x:xf>
    <x:xf numFmtId="0" fontId="8" fillId="7" borderId="5" xfId="0" applyNumberFormat="1" applyFont="1" applyFill="1" applyBorder="1" applyAlignment="1">
      <x:alignment vertical="center"/>
    </x:xf>
    <x:xf numFmtId="0" fontId="8" fillId="7" borderId="5" xfId="0" applyNumberFormat="1" applyFont="1" applyFill="1" applyBorder="1" applyAlignment="1">
      <x:alignment vertical="center" wrapText="1"/>
    </x:xf>
    <x:xf numFmtId="0" fontId="8" fillId="8" borderId="5" xfId="0" applyNumberFormat="1" applyFont="1" applyFill="1" applyBorder="1" applyAlignment="1">
      <x:alignment vertical="center"/>
    </x:xf>
    <x:xf numFmtId="0" fontId="8" fillId="8" borderId="5" xfId="0" applyNumberFormat="1" applyFont="1" applyFill="1" applyBorder="1" applyAlignment="1">
      <x:alignment vertical="center" wrapText="1"/>
    </x:xf>
    <x:xf numFmtId="0" fontId="8" fillId="9" borderId="5" xfId="0" applyNumberFormat="1" applyFont="1" applyFill="1" applyBorder="1" applyAlignment="1">
      <x:alignment vertical="center"/>
    </x:xf>
    <x:xf numFmtId="0" fontId="8" fillId="9" borderId="5" xfId="0" applyNumberFormat="1" applyFont="1" applyFill="1" applyBorder="1" applyAlignment="1">
      <x:alignment vertical="center" wrapText="1"/>
    </x:xf>
    <x:xf numFmtId="0" fontId="7" fillId="3" borderId="0" xfId="0" applyNumberFormat="1" applyFont="1" applyFill="1" applyBorder="1" applyAlignment="1">
      <x:alignment wrapText="1"/>
    </x:xf>
    <x:xf numFmtId="0" fontId="8" fillId="0" borderId="6" xfId="0" applyNumberFormat="1" applyFont="1" applyFill="1" applyBorder="1"/>
    <x:xf numFmtId="0" fontId="8" fillId="0" borderId="6" xfId="0" applyNumberFormat="1" applyFont="1" applyFill="1" applyBorder="1" applyAlignment="1">
      <x:alignment vertical="center"/>
    </x:xf>
    <x:xf numFmtId="0" fontId="8" fillId="0" borderId="6" xfId="0" applyNumberFormat="1" applyFont="1" applyFill="1" applyBorder="1" applyAlignment="1">
      <x:alignment vertical="center" wrapText="1"/>
    </x:xf>
    <x:xf numFmtId="0" fontId="8" fillId="5" borderId="4" xfId="0" applyNumberFormat="1" applyFont="1" applyFill="1" applyBorder="1" applyAlignment="1">
      <x:alignment vertical="center"/>
    </x:xf>
    <x:xf numFmtId="0" fontId="8" fillId="5" borderId="5" xfId="0" applyNumberFormat="1" applyFont="1" applyFill="1" applyBorder="1" applyAlignment="1">
      <x:alignment vertical="center"/>
    </x:xf>
    <x:xf numFmtId="0" fontId="8" fillId="5" borderId="6" xfId="0" applyNumberFormat="1" applyFont="1" applyFill="1" applyBorder="1" applyAlignment="1">
      <x:alignment vertical="center"/>
    </x:xf>
    <x:xf numFmtId="0" fontId="10" fillId="5" borderId="4" xfId="0" applyNumberFormat="1" applyFont="1" applyFill="1" applyBorder="1" applyAlignment="1">
      <x:alignment vertical="center"/>
    </x:xf>
    <x:xf numFmtId="0" fontId="10" fillId="5" borderId="5" xfId="0" applyNumberFormat="1" applyFont="1" applyFill="1" applyBorder="1" applyAlignment="1">
      <x:alignment vertical="center"/>
    </x:xf>
    <x:xf numFmtId="0" fontId="10" fillId="5" borderId="6" xfId="0" applyNumberFormat="1" applyFont="1" applyFill="1" applyBorder="1" applyAlignment="1">
      <x:alignment vertical="center"/>
    </x:xf>
    <x:xf numFmtId="0" fontId="10" fillId="5" borderId="4" xfId="0" applyNumberFormat="1" applyFont="1" applyFill="1" applyBorder="1" applyAlignment="1">
      <x:alignment horizontal="center" vertical="center"/>
    </x:xf>
    <x:xf numFmtId="0" fontId="10" fillId="5" borderId="5" xfId="0" applyNumberFormat="1" applyFont="1" applyFill="1" applyBorder="1" applyAlignment="1">
      <x:alignment horizontal="center" vertical="center"/>
    </x:xf>
    <x:xf numFmtId="0" fontId="10" fillId="5" borderId="6" xfId="0" applyNumberFormat="1" applyFont="1" applyFill="1" applyBorder="1" applyAlignment="1">
      <x:alignment horizontal="center" vertical="center"/>
    </x:xf>
    <x:xf numFmtId="0" fontId="8" fillId="0"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7" fillId="2" borderId="0" xfId="0" applyNumberFormat="1" applyFont="1" applyFill="1" applyBorder="1" applyAlignment="1">
      <x:alignment vertical="center"/>
    </x:xf>
    <x:xf numFmtId="0" fontId="8" fillId="10" borderId="0" xfId="0" applyNumberFormat="1" applyFont="1" applyFill="1" applyBorder="1" applyAlignment="1">
      <x:alignment vertical="center"/>
    </x:xf>
    <x:xf numFmtId="0" fontId="8" fillId="11" borderId="0" xfId="0" applyNumberFormat="1" applyFont="1" applyFill="1" applyBorder="1" applyAlignment="1">
      <x:alignment vertical="center"/>
    </x:xf>
    <x:xf numFmtId="0" fontId="8" fillId="12" borderId="0" xfId="0" applyNumberFormat="1" applyFont="1" applyFill="1" applyBorder="1" applyAlignment="1">
      <x:alignment vertical="center"/>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12" fillId="3" borderId="0" xfId="0" applyNumberFormat="1" applyFont="1" applyFill="1" applyBorder="1"/>
    <x:xf numFmtId="0" fontId="12" fillId="3" borderId="1" xfId="0" applyNumberFormat="1" applyFont="1" applyFill="1" applyBorder="1"/>
    <x:xf numFmtId="0" fontId="12" fillId="3" borderId="2" xfId="0" applyNumberFormat="1" applyFont="1" applyFill="1" applyBorder="1"/>
    <x:xf numFmtId="0" fontId="12" fillId="3" borderId="3" xfId="0" applyNumberFormat="1" applyFont="1" applyFill="1" applyBorder="1"/>
    <x:xf numFmtId="0" fontId="12" fillId="3" borderId="1" xfId="0" applyNumberFormat="1" applyFont="1" applyFill="1" applyBorder="1" applyAlignment="1">
      <x:alignment wrapText="1"/>
    </x:xf>
    <x:xf numFmtId="0" fontId="12" fillId="3" borderId="2" xfId="0" applyNumberFormat="1" applyFont="1" applyFill="1" applyBorder="1" applyAlignment="1">
      <x:alignment wrapText="1"/>
    </x:xf>
    <x:xf numFmtId="0" fontId="12" fillId="3" borderId="3" xfId="0" applyNumberFormat="1" applyFont="1" applyFill="1" applyBorder="1" applyAlignment="1">
      <x:alignment wrapText="1"/>
    </x:xf>
    <x:xf numFmtId="0" fontId="12" fillId="3" borderId="1" xfId="0" applyNumberFormat="1" applyFont="1" applyFill="1" applyBorder="1" applyAlignment="1">
      <x:alignment horizontal="center" wrapText="1"/>
    </x:xf>
    <x:xf numFmtId="0" fontId="12" fillId="3" borderId="2" xfId="0" applyNumberFormat="1" applyFont="1" applyFill="1" applyBorder="1" applyAlignment="1">
      <x:alignment horizontal="center" wrapText="1"/>
    </x:xf>
    <x:xf numFmtId="0" fontId="12" fillId="3" borderId="3" xfId="0" applyNumberFormat="1" applyFont="1" applyFill="1" applyBorder="1" applyAlignment="1">
      <x:alignment horizontal="center" wrapText="1"/>
    </x:xf>
    <x:xf numFmtId="0" fontId="12" fillId="3" borderId="1" xfId="0" applyNumberFormat="1" applyFont="1" applyFill="1" applyBorder="1" applyAlignment="1">
      <x:alignment horizontal="center" vertical="center" wrapText="1"/>
    </x:xf>
    <x:xf numFmtId="0" fontId="12" fillId="3" borderId="2" xfId="0" applyNumberFormat="1" applyFont="1" applyFill="1" applyBorder="1" applyAlignment="1">
      <x:alignment horizontal="center" vertical="center" wrapText="1"/>
    </x:xf>
    <x:xf numFmtId="0" fontId="12" fillId="3" borderId="3" xfId="0" applyNumberFormat="1" applyFont="1" applyFill="1" applyBorder="1" applyAlignment="1">
      <x:alignment horizontal="center" vertical="center" wrapText="1"/>
    </x:xf>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13" fillId="6" borderId="0" xfId="0" applyNumberFormat="1" applyFont="1" applyFill="1" applyBorder="1"/>
    <x:xf numFmtId="0" fontId="13" fillId="0" borderId="0" xfId="0" applyNumberFormat="1" applyFont="1" applyFill="1" applyBorder="1"/>
    <x:xf numFmtId="0" fontId="13" fillId="7" borderId="0" xfId="0" applyNumberFormat="1" applyFont="1" applyFill="1" applyBorder="1"/>
    <x:xf numFmtId="0" fontId="13" fillId="8" borderId="0" xfId="0" applyNumberFormat="1" applyFont="1" applyFill="1" applyBorder="1"/>
    <x:xf numFmtId="0" fontId="13" fillId="9" borderId="0" xfId="0" applyNumberFormat="1" applyFont="1" applyFill="1" applyBorder="1"/>
    <x:xf numFmtId="0" fontId="13" fillId="6" borderId="4" xfId="0" applyNumberFormat="1" applyFont="1" applyFill="1" applyBorder="1"/>
    <x:xf numFmtId="0" fontId="13" fillId="0" borderId="4" xfId="0" applyNumberFormat="1" applyFont="1" applyFill="1" applyBorder="1"/>
    <x:xf numFmtId="0" fontId="13" fillId="6" borderId="5" xfId="0" applyNumberFormat="1" applyFont="1" applyFill="1" applyBorder="1"/>
    <x:xf numFmtId="0" fontId="13" fillId="0" borderId="5" xfId="0" applyNumberFormat="1" applyFont="1" applyFill="1" applyBorder="1"/>
    <x:xf numFmtId="0" fontId="13" fillId="7" borderId="5" xfId="0" applyNumberFormat="1" applyFont="1" applyFill="1" applyBorder="1"/>
    <x:xf numFmtId="0" fontId="13" fillId="8" borderId="5" xfId="0" applyNumberFormat="1" applyFont="1" applyFill="1" applyBorder="1"/>
    <x:xf numFmtId="0" fontId="13" fillId="9" borderId="5" xfId="0" applyNumberFormat="1" applyFont="1" applyFill="1" applyBorder="1"/>
    <x:xf numFmtId="0" fontId="13" fillId="9" borderId="6" xfId="0" applyNumberFormat="1" applyFont="1" applyFill="1" applyBorder="1"/>
    <x:xf numFmtId="0" fontId="13" fillId="0" borderId="6" xfId="0" applyNumberFormat="1" applyFont="1" applyFill="1" applyBorder="1"/>
    <x:xf numFmtId="0" fontId="13" fillId="6" borderId="4" xfId="0" applyNumberFormat="1" applyFont="1" applyFill="1" applyBorder="1" applyAlignment="1">
      <x:alignment vertical="center"/>
    </x:xf>
    <x:xf numFmtId="0" fontId="13" fillId="0" borderId="4" xfId="0" applyNumberFormat="1" applyFont="1" applyFill="1" applyBorder="1" applyAlignment="1">
      <x:alignment vertical="center"/>
    </x:xf>
    <x:xf numFmtId="0" fontId="13" fillId="6" borderId="5" xfId="0" applyNumberFormat="1" applyFont="1" applyFill="1" applyBorder="1" applyAlignment="1">
      <x:alignment vertical="center"/>
    </x:xf>
    <x:xf numFmtId="0" fontId="13" fillId="0" borderId="5" xfId="0" applyNumberFormat="1" applyFont="1" applyFill="1" applyBorder="1" applyAlignment="1">
      <x:alignment vertical="center"/>
    </x:xf>
    <x:xf numFmtId="0" fontId="13" fillId="7" borderId="5" xfId="0" applyNumberFormat="1" applyFont="1" applyFill="1" applyBorder="1" applyAlignment="1">
      <x:alignment vertical="center"/>
    </x:xf>
    <x:xf numFmtId="0" fontId="13" fillId="8" borderId="5" xfId="0" applyNumberFormat="1" applyFont="1" applyFill="1" applyBorder="1" applyAlignment="1">
      <x:alignment vertical="center"/>
    </x:xf>
    <x:xf numFmtId="0" fontId="13" fillId="9" borderId="5" xfId="0" applyNumberFormat="1" applyFont="1" applyFill="1" applyBorder="1" applyAlignment="1">
      <x:alignment vertical="center"/>
    </x:xf>
    <x:xf numFmtId="0" fontId="13" fillId="9" borderId="6" xfId="0" applyNumberFormat="1" applyFont="1" applyFill="1" applyBorder="1" applyAlignment="1">
      <x:alignment vertical="center"/>
    </x:xf>
    <x:xf numFmtId="0" fontId="13" fillId="0" borderId="6" xfId="0" applyNumberFormat="1" applyFont="1" applyFill="1" applyBorder="1" applyAlignment="1">
      <x:alignment vertical="center"/>
    </x:xf>
    <x:xf numFmtId="0" fontId="8" fillId="9" borderId="6" xfId="0" applyNumberFormat="1" applyFont="1" applyFill="1" applyBorder="1" applyAlignment="1">
      <x:alignment vertical="center"/>
    </x:xf>
    <x:xf numFmtId="0" fontId="8" fillId="9" borderId="6" xfId="0" applyNumberFormat="1" applyFont="1" applyFill="1" applyBorder="1" applyAlignment="1">
      <x:alignment vertical="center" wrapText="1"/>
    </x:xf>
    <x:xf numFmtId="0" fontId="14" fillId="0" borderId="4" xfId="0" applyNumberFormat="1" applyFont="1" applyFill="1" applyBorder="1" applyAlignment="1">
      <x:alignment vertical="center"/>
    </x:xf>
    <x:xf numFmtId="0" fontId="14" fillId="0" borderId="5" xfId="0" applyNumberFormat="1" applyFont="1" applyFill="1" applyBorder="1" applyAlignment="1">
      <x:alignment vertical="center"/>
    </x:xf>
    <x:xf numFmtId="0" fontId="14" fillId="0" borderId="6" xfId="0" applyNumberFormat="1" applyFont="1" applyFill="1" applyBorder="1" applyAlignment="1">
      <x:alignment vertical="center"/>
    </x:xf>
    <x:xf numFmtId="200" fontId="14" fillId="0" borderId="4" xfId="0" applyNumberFormat="1" applyFont="1" applyFill="1" applyBorder="1" applyAlignment="1">
      <x:alignment vertical="center"/>
    </x:xf>
    <x:xf numFmtId="200" fontId="14" fillId="0" borderId="5" xfId="0" applyNumberFormat="1" applyFont="1" applyFill="1" applyBorder="1" applyAlignment="1">
      <x:alignment vertical="center"/>
    </x:xf>
    <x:xf numFmtId="200" fontId="14" fillId="0" borderId="6" xfId="0" applyNumberFormat="1" applyFont="1" applyFill="1" applyBorder="1" applyAlignment="1">
      <x:alignment vertical="center"/>
    </x:xf>
    <x:xf numFmtId="200" fontId="14" fillId="0" borderId="4" xfId="0" applyNumberFormat="1" applyFont="1" applyFill="1" applyBorder="1" applyAlignment="1">
      <x:alignment horizontal="center" vertical="center"/>
    </x:xf>
    <x:xf numFmtId="200" fontId="14" fillId="0" borderId="5" xfId="0" applyNumberFormat="1" applyFont="1" applyFill="1" applyBorder="1" applyAlignment="1">
      <x:alignment horizontal="center" vertical="center"/>
    </x:xf>
    <x:xf numFmtId="200" fontId="14" fillId="0" borderId="6" xfId="0" applyNumberFormat="1" applyFont="1" applyFill="1" applyBorder="1" applyAlignment="1">
      <x:alignment horizontal="center" vertical="center"/>
    </x:xf>
    <x:xf numFmtId="201" fontId="14" fillId="0" borderId="4" xfId="0" applyNumberFormat="1" applyFont="1" applyFill="1" applyBorder="1" applyAlignment="1">
      <x:alignment vertical="center"/>
    </x:xf>
    <x:xf numFmtId="201" fontId="14" fillId="0" borderId="5" xfId="0" applyNumberFormat="1" applyFont="1" applyFill="1" applyBorder="1" applyAlignment="1">
      <x:alignment vertical="center"/>
    </x:xf>
    <x:xf numFmtId="201" fontId="14" fillId="0" borderId="6" xfId="0" applyNumberFormat="1" applyFont="1" applyFill="1" applyBorder="1" applyAlignment="1">
      <x:alignment vertical="center"/>
    </x:xf>
    <x:xf numFmtId="201" fontId="14" fillId="0" borderId="4" xfId="0" applyNumberFormat="1" applyFont="1" applyFill="1" applyBorder="1" applyAlignment="1">
      <x:alignment horizontal="center" vertical="center"/>
    </x:xf>
    <x:xf numFmtId="201" fontId="14" fillId="0" borderId="5" xfId="0" applyNumberFormat="1" applyFont="1" applyFill="1" applyBorder="1" applyAlignment="1">
      <x:alignment horizontal="center" vertical="center"/>
    </x:xf>
    <x:xf numFmtId="201" fontId="14" fillId="0" borderId="6" xfId="0" applyNumberFormat="1" applyFont="1" applyFill="1" applyBorder="1" applyAlignment="1">
      <x:alignment horizontal="center" vertical="center"/>
    </x:xf>
    <x:xf numFmtId="0" fontId="15" fillId="0" borderId="4" xfId="0" applyNumberFormat="1" applyFont="1" applyFill="1" applyBorder="1" applyAlignment="1">
      <x:alignment vertical="center"/>
    </x:xf>
    <x:xf numFmtId="0" fontId="15" fillId="0" borderId="5" xfId="0" applyNumberFormat="1" applyFont="1" applyFill="1" applyBorder="1" applyAlignment="1">
      <x:alignment vertical="center"/>
    </x:xf>
    <x:xf numFmtId="0" fontId="15" fillId="0" borderId="6" xfId="0" applyNumberFormat="1" applyFont="1" applyFill="1" applyBorder="1" applyAlignment="1">
      <x:alignment vertical="center"/>
    </x:xf>
    <x:xf numFmtId="0" fontId="15" fillId="0" borderId="4" xfId="0" applyNumberFormat="1" applyFont="1" applyFill="1" applyBorder="1" applyAlignment="1">
      <x:alignment vertical="center" wrapText="1"/>
    </x:xf>
    <x:xf numFmtId="0" fontId="15" fillId="0" borderId="5" xfId="0" applyNumberFormat="1" applyFont="1" applyFill="1" applyBorder="1" applyAlignment="1">
      <x:alignment vertical="center" wrapText="1"/>
    </x:xf>
    <x:xf numFmtId="0" fontId="15" fillId="0" borderId="6" xfId="0" applyNumberFormat="1" applyFont="1" applyFill="1" applyBorder="1" applyAlignment="1">
      <x:alignment vertical="center" wrapText="1"/>
    </x:xf>
    <x:xf numFmtId="0" fontId="16" fillId="4" borderId="0" xfId="0" applyNumberFormat="1" applyFont="1" applyFill="1" applyBorder="1"/>
    <x:xf numFmtId="0" fontId="16" fillId="4" borderId="0" xfId="0" applyNumberFormat="1" applyFont="1" applyFill="1" applyBorder="1" applyAlignment="1">
      <x:alignment wrapText="1"/>
    </x:xf>
    <x:xf numFmtId="0" fontId="16" fillId="4" borderId="0" xfId="0" applyNumberFormat="1" applyFont="1" applyFill="1" applyBorder="1" applyAlignment="1">
      <x:alignment vertical="center" wrapText="1"/>
    </x:xf>
    <x:xf numFmtId="0" fontId="7" fillId="3" borderId="0" xfId="0" applyNumberFormat="1" applyFont="1" applyFill="1" applyBorder="1" applyAlignment="1">
      <x:alignment vertical="center"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wrapText="1"/>
    </x:xf>
    <x:xf numFmtId="0" fontId="8" fillId="6" borderId="4" xfId="0" applyNumberFormat="1" applyFont="1" applyFill="1" applyBorder="1" applyAlignment="1">
      <x:alignment vertical="top" wrapText="1"/>
    </x:xf>
    <x:xf numFmtId="0" fontId="8" fillId="4" borderId="4" xfId="0" applyNumberFormat="1" applyFont="1" applyFill="1" applyBorder="1" applyAlignment="1">
      <x:alignment vertical="top" wrapText="1"/>
    </x:xf>
    <x:xf numFmtId="0" fontId="17" fillId="4" borderId="4" xfId="0" applyNumberFormat="1" applyFont="1" applyFill="1" applyBorder="1" applyAlignment="1">
      <x:alignment vertical="top" wrapText="1"/>
    </x:xf>
    <x:xf numFmtId="0" fontId="8" fillId="6" borderId="5" xfId="0" applyNumberFormat="1" applyFont="1" applyFill="1" applyBorder="1" applyAlignment="1">
      <x:alignment vertical="top" wrapText="1"/>
    </x:xf>
    <x:xf numFmtId="0" fontId="8" fillId="5" borderId="5" xfId="0" applyNumberFormat="1" applyFont="1" applyFill="1" applyBorder="1" applyAlignment="1">
      <x:alignment vertical="top" wrapText="1"/>
    </x:xf>
    <x:xf numFmtId="0" fontId="18" fillId="5" borderId="5" xfId="0" applyNumberFormat="1" applyFont="1" applyFill="1" applyBorder="1" applyAlignment="1">
      <x:alignment vertical="top" wrapText="1"/>
    </x:xf>
    <x:xf numFmtId="0" fontId="8" fillId="4" borderId="5" xfId="0" applyNumberFormat="1" applyFont="1" applyFill="1" applyBorder="1" applyAlignment="1">
      <x:alignment vertical="top" wrapText="1"/>
    </x:xf>
    <x:xf numFmtId="0" fontId="17" fillId="4"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9" borderId="5" xfId="0" applyNumberFormat="1" applyFont="1" applyFill="1" applyBorder="1" applyAlignment="1">
      <x:alignment vertical="top" wrapText="1"/>
    </x:xf>
    <x:xf numFmtId="0" fontId="8" fillId="9" borderId="6" xfId="0" applyNumberFormat="1" applyFont="1" applyFill="1" applyBorder="1" applyAlignment="1">
      <x:alignment vertical="top" wrapText="1"/>
    </x:xf>
    <x:xf numFmtId="0" fontId="8" fillId="4" borderId="6" xfId="0" applyNumberFormat="1" applyFont="1" applyFill="1" applyBorder="1" applyAlignment="1">
      <x:alignment vertical="top" wrapText="1"/>
    </x:xf>
    <x:xf numFmtId="0" fontId="17" fillId="4" borderId="6" xfId="0" applyNumberFormat="1" applyFont="1" applyFill="1" applyBorder="1" applyAlignment="1">
      <x:alignment vertical="top" wrapText="1"/>
    </x:xf>
    <x:xf numFmtId="0" fontId="8" fillId="3" borderId="4" xfId="0" applyNumberFormat="1" applyFont="1" applyFill="1" applyBorder="1" applyAlignment="1">
      <x:alignment vertical="top" wrapText="1"/>
    </x:xf>
    <x:xf numFmtId="0" fontId="7" fillId="3" borderId="4" xfId="0" applyNumberFormat="1" applyFont="1" applyFill="1" applyBorder="1" applyAlignment="1">
      <x:alignment vertical="top" wrapText="1"/>
    </x:xf>
    <x:xf numFmtId="0" fontId="8" fillId="2" borderId="5" xfId="0" applyNumberFormat="1" applyFont="1" applyFill="1" applyBorder="1" applyAlignment="1">
      <x:alignment vertical="top" wrapText="1"/>
    </x:xf>
    <x:xf numFmtId="0" fontId="19" fillId="2" borderId="5" xfId="0" applyNumberFormat="1" applyFont="1" applyFill="1" applyBorder="1" applyAlignment="1">
      <x:alignment vertical="top" wrapText="1"/>
    </x:xf>
    <x:xf numFmtId="0" fontId="8" fillId="10" borderId="5" xfId="0" applyNumberFormat="1" applyFont="1" applyFill="1" applyBorder="1" applyAlignment="1">
      <x:alignment vertical="top" wrapText="1"/>
    </x:xf>
    <x:xf numFmtId="0" fontId="8" fillId="11" borderId="5" xfId="0" applyNumberFormat="1" applyFont="1" applyFill="1" applyBorder="1" applyAlignment="1">
      <x:alignment vertical="top" wrapText="1"/>
    </x:xf>
    <x:xf numFmtId="0" fontId="8" fillId="12" borderId="6" xfId="0" applyNumberFormat="1" applyFont="1" applyFill="1" applyBorder="1" applyAlignment="1">
      <x:alignment vertical="top" wrapText="1"/>
    </x:xf>
    <x:xf numFmtId="0" fontId="19" fillId="3" borderId="0" xfId="0" applyNumberFormat="1" applyFont="1" applyFill="1" applyBorder="1"/>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cellXfs>
  <x:cellStyles count="1">
    <x:cellStyle name="Normal" xfId="0"/>
  </x:cellStyles>
  <x:dxfs count="8">
    <x:dxf>
      <x:font>
        <x:b/>
        <x:color rgb="FFFFFFFF"/>
      </x:font>
      <x:fill>
        <x:patternFill patternType="solid">
          <x:bgColor rgb="FFB84F00"/>
        </x:patternFill>
      </x:fill>
    </x:dxf>
    <x:dxf>
      <x:font>
        <x:b/>
        <x:color rgb="FF25313D"/>
      </x:font>
      <x:fill>
        <x:patternFill patternType="solid">
          <x:bgColor rgb="FFF29A3F"/>
        </x:patternFill>
      </x:fill>
    </x:dxf>
    <x:dxf>
      <x:font>
        <x:color rgb="FF25313D"/>
      </x:font>
      <x:fill>
        <x:patternFill patternType="solid">
          <x:bgColor rgb="FFFBE0C2"/>
        </x:patternFill>
      </x:fill>
    </x:dxf>
    <x:dxf>
      <x:font>
        <x:color rgb="FF667085"/>
      </x:font>
      <x:fill>
        <x:patternFill patternType="solid">
          <x:bgColor rgb="FFEEF1F4"/>
        </x:patternFill>
      </x:fill>
    </x:dxf>
    <x:dxf>
      <x:font>
        <x:b/>
        <x:color rgb="FFFFFFFF"/>
      </x:font>
      <x:fill>
        <x:patternFill patternType="solid">
          <x:bgColor rgb="FFB84F00"/>
        </x:patternFill>
      </x:fill>
    </x:dxf>
    <x:dxf>
      <x:font>
        <x:b/>
        <x:color rgb="FF25313D"/>
      </x:font>
      <x:fill>
        <x:patternFill patternType="solid">
          <x:bgColor rgb="FFF29A3F"/>
        </x:patternFill>
      </x:fill>
    </x:dxf>
    <x:dxf>
      <x:font>
        <x:color rgb="FF25313D"/>
      </x:font>
      <x:fill>
        <x:patternFill patternType="solid">
          <x:bgColor rgb="FFFBE0C2"/>
        </x:patternFill>
      </x:fill>
    </x:dxf>
    <x:dxf>
      <x:font>
        <x:color rgb="FF667085"/>
      </x:font>
      <x:fill>
        <x:patternFill patternType="solid">
          <x:bgColor rgb="FFEEF1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50934a0eb04433" /><Relationship Type="http://schemas.openxmlformats.org/officeDocument/2006/relationships/theme" Target="/xl/theme/theme1.xml" Id="R3ab1fa836aa543e8" /><Relationship Type="http://schemas.openxmlformats.org/officeDocument/2006/relationships/sharedStrings" Target="/xl/sharedStrings.xml" Id="Rd62bc205fe24440c" /><Relationship Type="http://schemas.openxmlformats.org/officeDocument/2006/relationships/worksheet" Target="/xl/worksheets/sheet1.xml" Id="R7a12052bd992486a" /><Relationship Type="http://schemas.openxmlformats.org/officeDocument/2006/relationships/worksheet" Target="/xl/worksheets/sheet2.xml" Id="R39c198b930ec4015" /><Relationship Type="http://schemas.openxmlformats.org/officeDocument/2006/relationships/worksheet" Target="/xl/worksheets/sheet3.xml" Id="R2d2d56ec97a04a74" /><Relationship Type="http://schemas.openxmlformats.org/officeDocument/2006/relationships/worksheet" Target="/xl/worksheets/sheet4.xml" Id="Rd321c9828d5e4763" /><Relationship Type="http://schemas.openxmlformats.org/officeDocument/2006/relationships/worksheet" Target="/xl/worksheets/sheet5.xml" Id="R47000da55695481a" /></Relationships>
</file>

<file path=xl/drawings/_rels/drawing1.xml.rels>&#65279;<?xml version="1.0" encoding="utf-8"?><Relationships xmlns="http://schemas.openxmlformats.org/package/2006/relationships"><Relationship Type="http://schemas.openxmlformats.org/officeDocument/2006/relationships/chart" Target="/xl/drawings/charts/chart1.xml" Id="R9b447b9a63b144e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Most explicit habits across SIS APs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Direct course count</c:v>
          </c:tx>
          <c:cat>
            <c:strRef>
              <c:f>'Executive View'!$M$9:$M$16</c:f>
              <c:strCache>
                <c:ptCount val="0"/>
              </c:strCache>
            </c:strRef>
          </c:cat>
          <c:val>
            <c:numRef>
              <c:f>'Executive View'!$N$9:$N$16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atAx>
      <c:valAx>
        <c:axId val="48672768"/>
        <c:scaling>
          <c:orientation val="minMax"/>
          <c:max val="24"/>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17</xdr:row>
      <xdr:rowOff>0</xdr:rowOff>
    </xdr:from>
    <xdr:to>
      <xdr:col>18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447b9a63b144e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bfe149c51e74c24"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3" hidden="0" customWidth="1"/>
    <x:col min="11" max="11" width="13" hidden="0" customWidth="1"/>
    <x:col min="12" max="12" width="3" hidden="0" customWidth="1"/>
    <x:col min="13" max="13" width="26" hidden="0" customWidth="1"/>
    <x:col min="14" max="14" width="12" hidden="0" customWidth="1"/>
    <x:col min="15" max="15" width="10" hidden="0" customWidth="1"/>
    <x:col min="16" max="16" width="10" hidden="0" customWidth="1"/>
    <x:col min="17" max="17" width="10" hidden="0" customWidth="1"/>
    <x:col min="18" max="18" width="10" hidden="0" customWidth="1"/>
  </x:cols>
  <x:sheetData>
    <x:row r="1" ht="34" customHeight="1">
      <x:c r="A1" s="4" t="str">
        <x:v>SIS AP × Thinking Habits Crosswalk</x:v>
      </x:c>
    </x:row>
    <x:row r="2" ht="34" customHeight="1"/>
    <x:row r="3" ht="30" customHeight="1">
      <x:c r="A3" s="7" t="str">
        <x:v>A visual map of where SIS thinking habits are directly mirrored, strongly supported, or indirectly enabled in the 24 AP offerings listed by SIS. Snapshot: 2 September 2026.</x:v>
      </x:c>
      <x:c r="B3" s="7"/>
      <x:c r="C3" s="7"/>
      <x:c r="D3" s="7"/>
      <x:c r="E3" s="7"/>
      <x:c r="F3" s="7"/>
      <x:c r="G3" s="7"/>
      <x:c r="H3" s="7"/>
      <x:c r="I3" s="7"/>
      <x:c r="J3" s="7"/>
      <x:c r="K3" s="7"/>
      <x:c r="L3" s="7"/>
      <x:c r="M3" s="7"/>
      <x:c r="N3" s="7"/>
      <x:c r="O3" s="7"/>
      <x:c r="P3" s="7"/>
      <x:c r="Q3" s="7"/>
      <x:c r="R3" s="7"/>
    </x:row>
    <x:row r="4" ht="38" customHeight="1">
      <x:c r="A4" s="11" t="str">
        <x:v>24</x:v>
      </x:c>
      <x:c r="B4" s="11"/>
      <x:c r="C4" s="16" t="str">
        <x:v>SIS AP offerings</x:v>
      </x:c>
      <x:c r="D4" s="16"/>
      <x:c r="E4" s="16"/>
      <x:c r="F4" s="11" t="str">
        <x:v>20 / 20</x:v>
      </x:c>
      <x:c r="G4" s="11"/>
      <x:c r="H4" s="16" t="str">
        <x:v>Habits connected</x:v>
      </x:c>
      <x:c r="I4" s="16"/>
      <x:c r="J4" s="16"/>
      <x:c r="K4" s="11" t="n">
        <x:f>COUNTIF('Habit Guide'!$D$5:$D$24,"Direct/equivalent")</x:f>
        <x:v>13</x:v>
      </x:c>
      <x:c r="L4" s="11"/>
      <x:c r="M4" s="16" t="str">
        <x:v>Direct/equivalent habits</x:v>
      </x:c>
      <x:c r="N4" s="16"/>
      <x:c r="O4" s="16"/>
    </x:row>
    <x:row r="5" ht="21" customHeight="1"/>
    <x:row r="6" ht="42" customHeight="1">
      <x:c r="A6" s="20" t="str">
        <x:v>Interpretation: all 20 habits have a defensible connection somewhere in the SIS AP program. Thirteen are repeatedly visible in official AP skill language; seven function mainly as learning behaviors or instructional conditions rather than named AP outcomes.</x:v>
      </x:c>
      <x:c r="B6" s="20"/>
      <x:c r="C6" s="20"/>
      <x:c r="D6" s="20"/>
      <x:c r="E6" s="20"/>
      <x:c r="F6" s="20"/>
      <x:c r="G6" s="20"/>
      <x:c r="H6" s="20"/>
      <x:c r="I6" s="20"/>
      <x:c r="J6" s="20"/>
      <x:c r="K6" s="23" t="str">
        <x:v>Dark orange marks the strongest, most explicit alignments. It does not imply that other habits are less valuable.</x:v>
      </x:c>
      <x:c r="L6" s="23"/>
      <x:c r="M6" s="23"/>
      <x:c r="N6" s="23"/>
      <x:c r="O6" s="23"/>
      <x:c r="P6" s="23"/>
      <x:c r="Q6" s="23"/>
      <x:c r="R6" s="23"/>
    </x:row>
    <x:row r="7" ht="21" customHeight="1"/>
    <x:row r="8" ht="34" customHeight="1">
      <x:c r="A8" s="34" t="str">
        <x:v>Domain</x:v>
      </x:c>
      <x:c r="B8" s="35" t="str">
        <x:v>SIS Thinking Habit</x:v>
      </x:c>
      <x:c r="C8" s="35" t="str">
        <x:v>Capstone</x:v>
      </x:c>
      <x:c r="D8" s="35" t="str">
        <x:v>English</x:v>
      </x:c>
      <x:c r="E8" s="35" t="str">
        <x:v>Visual Arts</x:v>
      </x:c>
      <x:c r="F8" s="35" t="str">
        <x:v>Math &amp; CS</x:v>
      </x:c>
      <x:c r="G8" s="35" t="str">
        <x:v>Science</x:v>
      </x:c>
      <x:c r="H8" s="35" t="str">
        <x:v>Social Sciences</x:v>
      </x:c>
      <x:c r="I8" s="35" t="str">
        <x:v>World Languages</x:v>
      </x:c>
      <x:c r="J8" s="35" t="str">
        <x:v>Direct in courses</x:v>
      </x:c>
      <x:c r="K8" s="36" t="str">
        <x:v>Clear in courses</x:v>
      </x:c>
      <x:c r="M8" s="60" t="str">
        <x:v>Strongest AP-wide habits</x:v>
      </x:c>
      <x:c r="N8" s="60" t="str">
        <x:v>Direct course count</x:v>
      </x:c>
    </x:row>
    <x:row r="9" ht="21" customHeight="1">
      <x:c r="A9" s="50" t="str">
        <x:v>I</x:v>
      </x:c>
      <x:c r="B9" s="51" t="str">
        <x:v>Prior Knowledge Activating</x:v>
      </x:c>
      <x:c r="C9" s="48" t="n">
        <x:f>MAX('Course Matrix'!D5:E5)</x:f>
        <x:v>1</x:v>
      </x:c>
      <x:c r="D9" s="48" t="n">
        <x:f>MAX('Course Matrix'!F5:G5)</x:f>
        <x:v>1</x:v>
      </x:c>
      <x:c r="E9" s="48" t="n">
        <x:f>MAX('Course Matrix'!H5:K5)</x:f>
        <x:v>1</x:v>
      </x:c>
      <x:c r="F9" s="48" t="n">
        <x:f>MAX('Course Matrix'!L5:P5)</x:f>
        <x:v>1</x:v>
      </x:c>
      <x:c r="G9" s="48" t="n">
        <x:f>MAX('Course Matrix'!Q5:U5)</x:f>
        <x:v>1</x:v>
      </x:c>
      <x:c r="H9" s="48" t="n">
        <x:f>MAX('Course Matrix'!V5:Y5)</x:f>
        <x:v>1</x:v>
      </x:c>
      <x:c r="I9" s="48" t="n">
        <x:f>MAX('Course Matrix'!Z5:AA5)</x:f>
        <x:v>1</x:v>
      </x:c>
      <x:c r="J9" s="48" t="n">
        <x:f>'Course Matrix'!AB5</x:f>
        <x:v>0</x:v>
      </x:c>
      <x:c r="K9" s="48" t="n">
        <x:f>'Course Matrix'!AC5</x:f>
        <x:v>0</x:v>
      </x:c>
      <x:c r="M9" s="42" t="str">
        <x:v>Connecting Across Concepts</x:v>
      </x:c>
      <x:c r="N9" s="70" t="n">
        <x:f>'Course Matrix'!AB11</x:f>
        <x:v>18</x:v>
      </x:c>
    </x:row>
    <x:row r="10" ht="21" customHeight="1">
      <x:c r="A10" s="52" t="str">
        <x:v>I</x:v>
      </x:c>
      <x:c r="B10" s="53" t="str">
        <x:v>Meaning-Making</x:v>
      </x:c>
      <x:c r="C10" s="49" t="n">
        <x:f>MAX('Course Matrix'!D6:E6)</x:f>
        <x:v>2</x:v>
      </x:c>
      <x:c r="D10" s="49" t="n">
        <x:f>MAX('Course Matrix'!F6:G6)</x:f>
        <x:v>3</x:v>
      </x:c>
      <x:c r="E10" s="49" t="n">
        <x:f>MAX('Course Matrix'!H6:K6)</x:f>
        <x:v>3</x:v>
      </x:c>
      <x:c r="F10" s="49" t="n">
        <x:f>MAX('Course Matrix'!L6:P6)</x:f>
        <x:v>2</x:v>
      </x:c>
      <x:c r="G10" s="49" t="n">
        <x:f>MAX('Course Matrix'!Q6:U6)</x:f>
        <x:v>3</x:v>
      </x:c>
      <x:c r="H10" s="49" t="n">
        <x:f>MAX('Course Matrix'!V6:Y6)</x:f>
        <x:v>3</x:v>
      </x:c>
      <x:c r="I10" s="49" t="n">
        <x:f>MAX('Course Matrix'!Z6:AA6)</x:f>
        <x:v>3</x:v>
      </x:c>
      <x:c r="J10" s="49" t="n">
        <x:f>'Course Matrix'!AB6</x:f>
        <x:v>9</x:v>
      </x:c>
      <x:c r="K10" s="49" t="n">
        <x:f>'Course Matrix'!AC6</x:f>
        <x:v>17</x:v>
      </x:c>
      <x:c r="M10" s="43" t="str">
        <x:v>Applying</x:v>
      </x:c>
      <x:c r="N10" s="71" t="n">
        <x:f>'Course Matrix'!AB18</x:f>
        <x:v>18</x:v>
      </x:c>
    </x:row>
    <x:row r="11" ht="21" customHeight="1">
      <x:c r="A11" s="52" t="str">
        <x:v>I</x:v>
      </x:c>
      <x:c r="B11" s="53" t="str">
        <x:v>Purposeful Attending</x:v>
      </x:c>
      <x:c r="C11" s="49" t="n">
        <x:f>MAX('Course Matrix'!D7:E7)</x:f>
        <x:v>2</x:v>
      </x:c>
      <x:c r="D11" s="49" t="n">
        <x:f>MAX('Course Matrix'!F7:G7)</x:f>
        <x:v>3</x:v>
      </x:c>
      <x:c r="E11" s="49" t="n">
        <x:f>MAX('Course Matrix'!H7:K7)</x:f>
        <x:v>2</x:v>
      </x:c>
      <x:c r="F11" s="49" t="n">
        <x:f>MAX('Course Matrix'!L7:P7)</x:f>
        <x:v>2</x:v>
      </x:c>
      <x:c r="G11" s="49" t="n">
        <x:f>MAX('Course Matrix'!Q7:U7)</x:f>
        <x:v>0</x:v>
      </x:c>
      <x:c r="H11" s="49" t="n">
        <x:f>MAX('Course Matrix'!V7:Y7)</x:f>
        <x:v>2</x:v>
      </x:c>
      <x:c r="I11" s="49" t="n">
        <x:f>MAX('Course Matrix'!Z7:AA7)</x:f>
        <x:v>3</x:v>
      </x:c>
      <x:c r="J11" s="49" t="n">
        <x:f>'Course Matrix'!AB7</x:f>
        <x:v>4</x:v>
      </x:c>
      <x:c r="K11" s="49" t="n">
        <x:f>'Course Matrix'!AC7</x:f>
        <x:v>15</x:v>
      </x:c>
      <x:c r="M11" s="43" t="str">
        <x:v>Principled Explaining</x:v>
      </x:c>
      <x:c r="N11" s="71" t="n">
        <x:f>'Course Matrix'!AB13</x:f>
        <x:v>18</x:v>
      </x:c>
    </x:row>
    <x:row r="12" ht="21" customHeight="1">
      <x:c r="A12" s="52" t="str">
        <x:v>I</x:v>
      </x:c>
      <x:c r="B12" s="53" t="str">
        <x:v>Productive Struggling</x:v>
      </x:c>
      <x:c r="C12" s="49" t="n">
        <x:f>MAX('Course Matrix'!D8:E8)</x:f>
        <x:v>1</x:v>
      </x:c>
      <x:c r="D12" s="49" t="n">
        <x:f>MAX('Course Matrix'!F8:G8)</x:f>
        <x:v>1</x:v>
      </x:c>
      <x:c r="E12" s="49" t="n">
        <x:f>MAX('Course Matrix'!H8:K8)</x:f>
        <x:v>2</x:v>
      </x:c>
      <x:c r="F12" s="49" t="n">
        <x:f>MAX('Course Matrix'!L8:P8)</x:f>
        <x:v>1</x:v>
      </x:c>
      <x:c r="G12" s="49" t="n">
        <x:f>MAX('Course Matrix'!Q8:U8)</x:f>
        <x:v>1</x:v>
      </x:c>
      <x:c r="H12" s="49" t="n">
        <x:f>MAX('Course Matrix'!V8:Y8)</x:f>
        <x:v>1</x:v>
      </x:c>
      <x:c r="I12" s="49" t="n">
        <x:f>MAX('Course Matrix'!Z8:AA8)</x:f>
        <x:v>1</x:v>
      </x:c>
      <x:c r="J12" s="49" t="n">
        <x:f>'Course Matrix'!AB8</x:f>
        <x:v>0</x:v>
      </x:c>
      <x:c r="K12" s="49" t="n">
        <x:f>'Course Matrix'!AC8</x:f>
        <x:v>3</x:v>
      </x:c>
      <x:c r="M12" s="43" t="str">
        <x:v>Meaning-Making</x:v>
      </x:c>
      <x:c r="N12" s="71" t="n">
        <x:f>'Course Matrix'!AB6</x:f>
        <x:v>9</x:v>
      </x:c>
    </x:row>
    <x:row r="13" ht="21" customHeight="1">
      <x:c r="A13" s="52" t="str">
        <x:v>I</x:v>
      </x:c>
      <x:c r="B13" s="53" t="str">
        <x:v>Questioning Deeply</x:v>
      </x:c>
      <x:c r="C13" s="49" t="n">
        <x:f>MAX('Course Matrix'!D9:E9)</x:f>
        <x:v>3</x:v>
      </x:c>
      <x:c r="D13" s="49" t="n">
        <x:f>MAX('Course Matrix'!F9:G9)</x:f>
        <x:v>2</x:v>
      </x:c>
      <x:c r="E13" s="49" t="n">
        <x:f>MAX('Course Matrix'!H9:K9)</x:f>
        <x:v>3</x:v>
      </x:c>
      <x:c r="F13" s="49" t="n">
        <x:f>MAX('Course Matrix'!L9:P9)</x:f>
        <x:v>0</x:v>
      </x:c>
      <x:c r="G13" s="49" t="n">
        <x:f>MAX('Course Matrix'!Q9:U9)</x:f>
        <x:v>2</x:v>
      </x:c>
      <x:c r="H13" s="49" t="n">
        <x:f>MAX('Course Matrix'!V9:Y9)</x:f>
        <x:v>2</x:v>
      </x:c>
      <x:c r="I13" s="49" t="n">
        <x:f>MAX('Course Matrix'!Z9:AA9)</x:f>
        <x:v>0</x:v>
      </x:c>
      <x:c r="J13" s="49" t="n">
        <x:f>'Course Matrix'!AB9</x:f>
        <x:v>5</x:v>
      </x:c>
      <x:c r="K13" s="49" t="n">
        <x:f>'Course Matrix'!AC9</x:f>
        <x:v>16</x:v>
      </x:c>
      <x:c r="M13" s="43" t="str">
        <x:v>Hypothesis Testing</x:v>
      </x:c>
      <x:c r="N13" s="71" t="n">
        <x:f>'Course Matrix'!AB17</x:f>
        <x:v>8</x:v>
      </x:c>
    </x:row>
    <x:row r="14" ht="21" customHeight="1">
      <x:c r="A14" s="54" t="str">
        <x:v>II</x:v>
      </x:c>
      <x:c r="B14" s="55" t="str">
        <x:v>Elaborating</x:v>
      </x:c>
      <x:c r="C14" s="49" t="n">
        <x:f>MAX('Course Matrix'!D10:E10)</x:f>
        <x:v>2</x:v>
      </x:c>
      <x:c r="D14" s="49" t="n">
        <x:f>MAX('Course Matrix'!F10:G10)</x:f>
        <x:v>3</x:v>
      </x:c>
      <x:c r="E14" s="49" t="n">
        <x:f>MAX('Course Matrix'!H10:K10)</x:f>
        <x:v>2</x:v>
      </x:c>
      <x:c r="F14" s="49" t="n">
        <x:f>MAX('Course Matrix'!L10:P10)</x:f>
        <x:v>0</x:v>
      </x:c>
      <x:c r="G14" s="49" t="n">
        <x:f>MAX('Course Matrix'!Q10:U10)</x:f>
        <x:v>0</x:v>
      </x:c>
      <x:c r="H14" s="49" t="n">
        <x:f>MAX('Course Matrix'!V10:Y10)</x:f>
        <x:v>2</x:v>
      </x:c>
      <x:c r="I14" s="49" t="n">
        <x:f>MAX('Course Matrix'!Z10:AA10)</x:f>
        <x:v>2</x:v>
      </x:c>
      <x:c r="J14" s="49" t="n">
        <x:f>'Course Matrix'!AB10</x:f>
        <x:v>2</x:v>
      </x:c>
      <x:c r="K14" s="49" t="n">
        <x:f>'Course Matrix'!AC10</x:f>
        <x:v>9</x:v>
      </x:c>
      <x:c r="M14" s="43" t="str">
        <x:v>Revising Thinking</x:v>
      </x:c>
      <x:c r="N14" s="71" t="n">
        <x:f>'Course Matrix'!AB21</x:f>
        <x:v>6</x:v>
      </x:c>
    </x:row>
    <x:row r="15" ht="21" customHeight="1">
      <x:c r="A15" s="54" t="str">
        <x:v>II</x:v>
      </x:c>
      <x:c r="B15" s="55" t="str">
        <x:v>Connecting Across Concepts</x:v>
      </x:c>
      <x:c r="C15" s="49" t="n">
        <x:f>MAX('Course Matrix'!D11:E11)</x:f>
        <x:v>3</x:v>
      </x:c>
      <x:c r="D15" s="49" t="n">
        <x:f>MAX('Course Matrix'!F11:G11)</x:f>
        <x:v>3</x:v>
      </x:c>
      <x:c r="E15" s="49" t="n">
        <x:f>MAX('Course Matrix'!H11:K11)</x:f>
        <x:v>3</x:v>
      </x:c>
      <x:c r="F15" s="49" t="n">
        <x:f>MAX('Course Matrix'!L11:P11)</x:f>
        <x:v>3</x:v>
      </x:c>
      <x:c r="G15" s="49" t="n">
        <x:f>MAX('Course Matrix'!Q11:U11)</x:f>
        <x:v>3</x:v>
      </x:c>
      <x:c r="H15" s="49" t="n">
        <x:f>MAX('Course Matrix'!V11:Y11)</x:f>
        <x:v>3</x:v>
      </x:c>
      <x:c r="I15" s="49" t="n">
        <x:f>MAX('Course Matrix'!Z11:AA11)</x:f>
        <x:v>2</x:v>
      </x:c>
      <x:c r="J15" s="49" t="n">
        <x:f>'Course Matrix'!AB11</x:f>
        <x:v>18</x:v>
      </x:c>
      <x:c r="K15" s="49" t="n">
        <x:f>'Course Matrix'!AC11</x:f>
        <x:v>24</x:v>
      </x:c>
      <x:c r="M15" s="43" t="str">
        <x:v>Predicting</x:v>
      </x:c>
      <x:c r="N15" s="71" t="n">
        <x:f>'Course Matrix'!AB16</x:f>
        <x:v>6</x:v>
      </x:c>
    </x:row>
    <x:row r="16" ht="21" customHeight="1">
      <x:c r="A16" s="54" t="str">
        <x:v>II</x:v>
      </x:c>
      <x:c r="B16" s="55" t="str">
        <x:v>Analogical Reasoning</x:v>
      </x:c>
      <x:c r="C16" s="49" t="n">
        <x:f>MAX('Course Matrix'!D12:E12)</x:f>
        <x:v>0</x:v>
      </x:c>
      <x:c r="D16" s="49" t="n">
        <x:f>MAX('Course Matrix'!F12:G12)</x:f>
        <x:v>3</x:v>
      </x:c>
      <x:c r="E16" s="49" t="n">
        <x:f>MAX('Course Matrix'!H12:K12)</x:f>
        <x:v>2</x:v>
      </x:c>
      <x:c r="F16" s="49" t="n">
        <x:f>MAX('Course Matrix'!L12:P12)</x:f>
        <x:v>0</x:v>
      </x:c>
      <x:c r="G16" s="49" t="n">
        <x:f>MAX('Course Matrix'!Q12:U12)</x:f>
        <x:v>2</x:v>
      </x:c>
      <x:c r="H16" s="49" t="n">
        <x:f>MAX('Course Matrix'!V12:Y12)</x:f>
        <x:v>2</x:v>
      </x:c>
      <x:c r="I16" s="49" t="n">
        <x:f>MAX('Course Matrix'!Z12:AA12)</x:f>
        <x:v>0</x:v>
      </x:c>
      <x:c r="J16" s="49" t="n">
        <x:f>'Course Matrix'!AB12</x:f>
        <x:v>1</x:v>
      </x:c>
      <x:c r="K16" s="49" t="n">
        <x:f>'Course Matrix'!AC12</x:f>
        <x:v>7</x:v>
      </x:c>
      <x:c r="M16" s="63" t="str">
        <x:v>Questioning Deeply</x:v>
      </x:c>
      <x:c r="N16" s="72" t="n">
        <x:f>'Course Matrix'!AB9</x:f>
        <x:v>5</x:v>
      </x:c>
    </x:row>
    <x:row r="17" ht="21" customHeight="1">
      <x:c r="A17" s="54" t="str">
        <x:v>II</x:v>
      </x:c>
      <x:c r="B17" s="55" t="str">
        <x:v>Principled Explaining</x:v>
      </x:c>
      <x:c r="C17" s="49" t="n">
        <x:f>MAX('Course Matrix'!D13:E13)</x:f>
        <x:v>3</x:v>
      </x:c>
      <x:c r="D17" s="49" t="n">
        <x:f>MAX('Course Matrix'!F13:G13)</x:f>
        <x:v>3</x:v>
      </x:c>
      <x:c r="E17" s="49" t="n">
        <x:f>MAX('Course Matrix'!H13:K13)</x:f>
        <x:v>3</x:v>
      </x:c>
      <x:c r="F17" s="49" t="n">
        <x:f>MAX('Course Matrix'!L13:P13)</x:f>
        <x:v>3</x:v>
      </x:c>
      <x:c r="G17" s="49" t="n">
        <x:f>MAX('Course Matrix'!Q13:U13)</x:f>
        <x:v>3</x:v>
      </x:c>
      <x:c r="H17" s="49" t="n">
        <x:f>MAX('Course Matrix'!V13:Y13)</x:f>
        <x:v>3</x:v>
      </x:c>
      <x:c r="I17" s="49" t="n">
        <x:f>MAX('Course Matrix'!Z13:AA13)</x:f>
        <x:v>0</x:v>
      </x:c>
      <x:c r="J17" s="49" t="n">
        <x:f>'Course Matrix'!AB13</x:f>
        <x:v>18</x:v>
      </x:c>
      <x:c r="K17" s="49" t="n">
        <x:f>'Course Matrix'!AC13</x:f>
        <x:v>22</x:v>
      </x:c>
    </x:row>
    <x:row r="18" ht="21" customHeight="1">
      <x:c r="A18" s="54" t="str">
        <x:v>II</x:v>
      </x:c>
      <x:c r="B18" s="55" t="str">
        <x:v>Contrasting Cases</x:v>
      </x:c>
      <x:c r="C18" s="49" t="n">
        <x:f>MAX('Course Matrix'!D14:E14)</x:f>
        <x:v>3</x:v>
      </x:c>
      <x:c r="D18" s="49" t="n">
        <x:f>MAX('Course Matrix'!F14:G14)</x:f>
        <x:v>3</x:v>
      </x:c>
      <x:c r="E18" s="49" t="n">
        <x:f>MAX('Course Matrix'!H14:K14)</x:f>
        <x:v>3</x:v>
      </x:c>
      <x:c r="F18" s="49" t="n">
        <x:f>MAX('Course Matrix'!L14:P14)</x:f>
        <x:v>2</x:v>
      </x:c>
      <x:c r="G18" s="49" t="n">
        <x:f>MAX('Course Matrix'!Q14:U14)</x:f>
        <x:v>2</x:v>
      </x:c>
      <x:c r="H18" s="49" t="n">
        <x:f>MAX('Course Matrix'!V14:Y14)</x:f>
        <x:v>3</x:v>
      </x:c>
      <x:c r="I18" s="49" t="n">
        <x:f>MAX('Course Matrix'!Z14:AA14)</x:f>
        <x:v>0</x:v>
      </x:c>
      <x:c r="J18" s="49" t="n">
        <x:f>'Course Matrix'!AB14</x:f>
        <x:v>5</x:v>
      </x:c>
      <x:c r="K18" s="49" t="n">
        <x:f>'Course Matrix'!AC14</x:f>
        <x:v>15</x:v>
      </x:c>
    </x:row>
    <x:row r="19" ht="21" customHeight="1">
      <x:c r="A19" s="56" t="str">
        <x:v>III</x:v>
      </x:c>
      <x:c r="B19" s="57" t="str">
        <x:v>Effortful Recalling</x:v>
      </x:c>
      <x:c r="C19" s="49" t="n">
        <x:f>MAX('Course Matrix'!D15:E15)</x:f>
        <x:v>1</x:v>
      </x:c>
      <x:c r="D19" s="49" t="n">
        <x:f>MAX('Course Matrix'!F15:G15)</x:f>
        <x:v>1</x:v>
      </x:c>
      <x:c r="E19" s="49" t="n">
        <x:f>MAX('Course Matrix'!H15:K15)</x:f>
        <x:v>1</x:v>
      </x:c>
      <x:c r="F19" s="49" t="n">
        <x:f>MAX('Course Matrix'!L15:P15)</x:f>
        <x:v>1</x:v>
      </x:c>
      <x:c r="G19" s="49" t="n">
        <x:f>MAX('Course Matrix'!Q15:U15)</x:f>
        <x:v>1</x:v>
      </x:c>
      <x:c r="H19" s="49" t="n">
        <x:f>MAX('Course Matrix'!V15:Y15)</x:f>
        <x:v>1</x:v>
      </x:c>
      <x:c r="I19" s="49" t="n">
        <x:f>MAX('Course Matrix'!Z15:AA15)</x:f>
        <x:v>2</x:v>
      </x:c>
      <x:c r="J19" s="49" t="n">
        <x:f>'Course Matrix'!AB15</x:f>
        <x:v>0</x:v>
      </x:c>
      <x:c r="K19" s="49" t="n">
        <x:f>'Course Matrix'!AC15</x:f>
        <x:v>2</x:v>
      </x:c>
    </x:row>
    <x:row r="20" ht="21" customHeight="1">
      <x:c r="A20" s="56" t="str">
        <x:v>III</x:v>
      </x:c>
      <x:c r="B20" s="57" t="str">
        <x:v>Predicting</x:v>
      </x:c>
      <x:c r="C20" s="49" t="n">
        <x:f>MAX('Course Matrix'!D16:E16)</x:f>
        <x:v>0</x:v>
      </x:c>
      <x:c r="D20" s="49" t="n">
        <x:f>MAX('Course Matrix'!F16:G16)</x:f>
        <x:v>0</x:v>
      </x:c>
      <x:c r="E20" s="49" t="n">
        <x:f>MAX('Course Matrix'!H16:K16)</x:f>
        <x:v>0</x:v>
      </x:c>
      <x:c r="F20" s="49" t="n">
        <x:f>MAX('Course Matrix'!L16:P16)</x:f>
        <x:v>3</x:v>
      </x:c>
      <x:c r="G20" s="49" t="n">
        <x:f>MAX('Course Matrix'!Q16:U16)</x:f>
        <x:v>3</x:v>
      </x:c>
      <x:c r="H20" s="49" t="n">
        <x:f>MAX('Course Matrix'!V16:Y16)</x:f>
        <x:v>3</x:v>
      </x:c>
      <x:c r="I20" s="49" t="n">
        <x:f>MAX('Course Matrix'!Z16:AA16)</x:f>
        <x:v>0</x:v>
      </x:c>
      <x:c r="J20" s="49" t="n">
        <x:f>'Course Matrix'!AB16</x:f>
        <x:v>6</x:v>
      </x:c>
      <x:c r="K20" s="49" t="n">
        <x:f>'Course Matrix'!AC16</x:f>
        <x:v>12</x:v>
      </x:c>
    </x:row>
    <x:row r="21" ht="21" customHeight="1">
      <x:c r="A21" s="56" t="str">
        <x:v>III</x:v>
      </x:c>
      <x:c r="B21" s="57" t="str">
        <x:v>Hypothesis Testing</x:v>
      </x:c>
      <x:c r="C21" s="49" t="n">
        <x:f>MAX('Course Matrix'!D17:E17)</x:f>
        <x:v>3</x:v>
      </x:c>
      <x:c r="D21" s="49" t="n">
        <x:f>MAX('Course Matrix'!F17:G17)</x:f>
        <x:v>0</x:v>
      </x:c>
      <x:c r="E21" s="49" t="n">
        <x:f>MAX('Course Matrix'!H17:K17)</x:f>
        <x:v>2</x:v>
      </x:c>
      <x:c r="F21" s="49" t="n">
        <x:f>MAX('Course Matrix'!L17:P17)</x:f>
        <x:v>3</x:v>
      </x:c>
      <x:c r="G21" s="49" t="n">
        <x:f>MAX('Course Matrix'!Q17:U17)</x:f>
        <x:v>3</x:v>
      </x:c>
      <x:c r="H21" s="49" t="n">
        <x:f>MAX('Course Matrix'!V17:Y17)</x:f>
        <x:v>3</x:v>
      </x:c>
      <x:c r="I21" s="49" t="n">
        <x:f>MAX('Course Matrix'!Z17:AA17)</x:f>
        <x:v>0</x:v>
      </x:c>
      <x:c r="J21" s="49" t="n">
        <x:f>'Course Matrix'!AB17</x:f>
        <x:v>8</x:v>
      </x:c>
      <x:c r="K21" s="49" t="n">
        <x:f>'Course Matrix'!AC17</x:f>
        <x:v>11</x:v>
      </x:c>
    </x:row>
    <x:row r="22" ht="21" customHeight="1">
      <x:c r="A22" s="56" t="str">
        <x:v>III</x:v>
      </x:c>
      <x:c r="B22" s="57" t="str">
        <x:v>Applying</x:v>
      </x:c>
      <x:c r="C22" s="49" t="n">
        <x:f>MAX('Course Matrix'!D18:E18)</x:f>
        <x:v>3</x:v>
      </x:c>
      <x:c r="D22" s="49" t="n">
        <x:f>MAX('Course Matrix'!F18:G18)</x:f>
        <x:v>2</x:v>
      </x:c>
      <x:c r="E22" s="49" t="n">
        <x:f>MAX('Course Matrix'!H18:K18)</x:f>
        <x:v>3</x:v>
      </x:c>
      <x:c r="F22" s="49" t="n">
        <x:f>MAX('Course Matrix'!L18:P18)</x:f>
        <x:v>3</x:v>
      </x:c>
      <x:c r="G22" s="49" t="n">
        <x:f>MAX('Course Matrix'!Q18:U18)</x:f>
        <x:v>3</x:v>
      </x:c>
      <x:c r="H22" s="49" t="n">
        <x:f>MAX('Course Matrix'!V18:Y18)</x:f>
        <x:v>3</x:v>
      </x:c>
      <x:c r="I22" s="49" t="n">
        <x:f>MAX('Course Matrix'!Z18:AA18)</x:f>
        <x:v>3</x:v>
      </x:c>
      <x:c r="J22" s="49" t="n">
        <x:f>'Course Matrix'!AB18</x:f>
        <x:v>18</x:v>
      </x:c>
      <x:c r="K22" s="49" t="n">
        <x:f>'Course Matrix'!AC18</x:f>
        <x:v>24</x:v>
      </x:c>
    </x:row>
    <x:row r="23" ht="21" customHeight="1">
      <x:c r="A23" s="56" t="str">
        <x:v>III</x:v>
      </x:c>
      <x:c r="B23" s="57" t="str">
        <x:v>Error Analyzing</x:v>
      </x:c>
      <x:c r="C23" s="49" t="n">
        <x:f>MAX('Course Matrix'!D19:E19)</x:f>
        <x:v>2</x:v>
      </x:c>
      <x:c r="D23" s="49" t="n">
        <x:f>MAX('Course Matrix'!F19:G19)</x:f>
        <x:v>2</x:v>
      </x:c>
      <x:c r="E23" s="49" t="n">
        <x:f>MAX('Course Matrix'!H19:K19)</x:f>
        <x:v>1</x:v>
      </x:c>
      <x:c r="F23" s="49" t="n">
        <x:f>MAX('Course Matrix'!L19:P19)</x:f>
        <x:v>3</x:v>
      </x:c>
      <x:c r="G23" s="49" t="n">
        <x:f>MAX('Course Matrix'!Q19:U19)</x:f>
        <x:v>3</x:v>
      </x:c>
      <x:c r="H23" s="49" t="n">
        <x:f>MAX('Course Matrix'!V19:Y19)</x:f>
        <x:v>2</x:v>
      </x:c>
      <x:c r="I23" s="49" t="n">
        <x:f>MAX('Course Matrix'!Z19:AA19)</x:f>
        <x:v>0</x:v>
      </x:c>
      <x:c r="J23" s="49" t="n">
        <x:f>'Course Matrix'!AB19</x:f>
        <x:v>2</x:v>
      </x:c>
      <x:c r="K23" s="49" t="n">
        <x:f>'Course Matrix'!AC19</x:f>
        <x:v>14</x:v>
      </x:c>
    </x:row>
    <x:row r="24" ht="21" customHeight="1">
      <x:c r="A24" s="58" t="str">
        <x:v>IV</x:v>
      </x:c>
      <x:c r="B24" s="59" t="str">
        <x:v>Calibrating</x:v>
      </x:c>
      <x:c r="C24" s="49" t="n">
        <x:f>MAX('Course Matrix'!D20:E20)</x:f>
        <x:v>2</x:v>
      </x:c>
      <x:c r="D24" s="49" t="n">
        <x:f>MAX('Course Matrix'!F20:G20)</x:f>
        <x:v>1</x:v>
      </x:c>
      <x:c r="E24" s="49" t="n">
        <x:f>MAX('Course Matrix'!H20:K20)</x:f>
        <x:v>2</x:v>
      </x:c>
      <x:c r="F24" s="49" t="n">
        <x:f>MAX('Course Matrix'!L20:P20)</x:f>
        <x:v>3</x:v>
      </x:c>
      <x:c r="G24" s="49" t="n">
        <x:f>MAX('Course Matrix'!Q20:U20)</x:f>
        <x:v>2</x:v>
      </x:c>
      <x:c r="H24" s="49" t="n">
        <x:f>MAX('Course Matrix'!V20:Y20)</x:f>
        <x:v>2</x:v>
      </x:c>
      <x:c r="I24" s="49" t="n">
        <x:f>MAX('Course Matrix'!Z20:AA20)</x:f>
        <x:v>2</x:v>
      </x:c>
      <x:c r="J24" s="49" t="n">
        <x:f>'Course Matrix'!AB20</x:f>
        <x:v>1</x:v>
      </x:c>
      <x:c r="K24" s="49" t="n">
        <x:f>'Course Matrix'!AC20</x:f>
        <x:v>14</x:v>
      </x:c>
    </x:row>
    <x:row r="25" ht="21" customHeight="1">
      <x:c r="A25" s="58" t="str">
        <x:v>IV</x:v>
      </x:c>
      <x:c r="B25" s="59" t="str">
        <x:v>Revising Thinking</x:v>
      </x:c>
      <x:c r="C25" s="49" t="n">
        <x:f>MAX('Course Matrix'!D21:E21)</x:f>
        <x:v>3</x:v>
      </x:c>
      <x:c r="D25" s="49" t="n">
        <x:f>MAX('Course Matrix'!F21:G21)</x:f>
        <x:v>3</x:v>
      </x:c>
      <x:c r="E25" s="49" t="n">
        <x:f>MAX('Course Matrix'!H21:K21)</x:f>
        <x:v>3</x:v>
      </x:c>
      <x:c r="F25" s="49" t="n">
        <x:f>MAX('Course Matrix'!L21:P21)</x:f>
        <x:v>3</x:v>
      </x:c>
      <x:c r="G25" s="49" t="n">
        <x:f>MAX('Course Matrix'!Q21:U21)</x:f>
        <x:v>2</x:v>
      </x:c>
      <x:c r="H25" s="49" t="n">
        <x:f>MAX('Course Matrix'!V21:Y21)</x:f>
        <x:v>2</x:v>
      </x:c>
      <x:c r="I25" s="49" t="n">
        <x:f>MAX('Course Matrix'!Z21:AA21)</x:f>
        <x:v>2</x:v>
      </x:c>
      <x:c r="J25" s="49" t="n">
        <x:f>'Course Matrix'!AB21</x:f>
        <x:v>6</x:v>
      </x:c>
      <x:c r="K25" s="49" t="n">
        <x:f>'Course Matrix'!AC21</x:f>
        <x:v>18</x:v>
      </x:c>
    </x:row>
    <x:row r="26" ht="21" customHeight="1">
      <x:c r="A26" s="58" t="str">
        <x:v>IV</x:v>
      </x:c>
      <x:c r="B26" s="59" t="str">
        <x:v>Sustaining Focus</x:v>
      </x:c>
      <x:c r="C26" s="49" t="n">
        <x:f>MAX('Course Matrix'!D22:E22)</x:f>
        <x:v>3</x:v>
      </x:c>
      <x:c r="D26" s="49" t="n">
        <x:f>MAX('Course Matrix'!F22:G22)</x:f>
        <x:v>1</x:v>
      </x:c>
      <x:c r="E26" s="49" t="n">
        <x:f>MAX('Course Matrix'!H22:K22)</x:f>
        <x:v>2</x:v>
      </x:c>
      <x:c r="F26" s="49" t="n">
        <x:f>MAX('Course Matrix'!L22:P22)</x:f>
        <x:v>2</x:v>
      </x:c>
      <x:c r="G26" s="49" t="n">
        <x:f>MAX('Course Matrix'!Q22:U22)</x:f>
        <x:v>1</x:v>
      </x:c>
      <x:c r="H26" s="49" t="n">
        <x:f>MAX('Course Matrix'!V22:Y22)</x:f>
        <x:v>1</x:v>
      </x:c>
      <x:c r="I26" s="49" t="n">
        <x:f>MAX('Course Matrix'!Z22:AA22)</x:f>
        <x:v>1</x:v>
      </x:c>
      <x:c r="J26" s="49" t="n">
        <x:f>'Course Matrix'!AB22</x:f>
        <x:v>1</x:v>
      </x:c>
      <x:c r="K26" s="49" t="n">
        <x:f>'Course Matrix'!AC22</x:f>
        <x:v>5</x:v>
      </x:c>
    </x:row>
    <x:row r="27" ht="21" customHeight="1">
      <x:c r="A27" s="58" t="str">
        <x:v>IV</x:v>
      </x:c>
      <x:c r="B27" s="59" t="str">
        <x:v>Reasoning Aloud</x:v>
      </x:c>
      <x:c r="C27" s="49" t="n">
        <x:f>MAX('Course Matrix'!D23:E23)</x:f>
        <x:v>3</x:v>
      </x:c>
      <x:c r="D27" s="49" t="n">
        <x:f>MAX('Course Matrix'!F23:G23)</x:f>
        <x:v>2</x:v>
      </x:c>
      <x:c r="E27" s="49" t="n">
        <x:f>MAX('Course Matrix'!H23:K23)</x:f>
        <x:v>2</x:v>
      </x:c>
      <x:c r="F27" s="49" t="n">
        <x:f>MAX('Course Matrix'!L23:P23)</x:f>
        <x:v>2</x:v>
      </x:c>
      <x:c r="G27" s="49" t="n">
        <x:f>MAX('Course Matrix'!Q23:U23)</x:f>
        <x:v>2</x:v>
      </x:c>
      <x:c r="H27" s="49" t="n">
        <x:f>MAX('Course Matrix'!V23:Y23)</x:f>
        <x:v>2</x:v>
      </x:c>
      <x:c r="I27" s="49" t="n">
        <x:f>MAX('Course Matrix'!Z23:AA23)</x:f>
        <x:v>3</x:v>
      </x:c>
      <x:c r="J27" s="49" t="n">
        <x:f>'Course Matrix'!AB23</x:f>
        <x:v>3</x:v>
      </x:c>
      <x:c r="K27" s="49" t="n">
        <x:f>'Course Matrix'!AC23</x:f>
        <x:v>23</x:v>
      </x:c>
    </x:row>
    <x:row r="28" ht="21" customHeight="1">
      <x:c r="A28" s="58" t="str">
        <x:v>IV</x:v>
      </x:c>
      <x:c r="B28" s="59" t="str">
        <x:v>Intellectual Courage</x:v>
      </x:c>
      <x:c r="C28" s="49" t="n">
        <x:f>MAX('Course Matrix'!D24:E24)</x:f>
        <x:v>2</x:v>
      </x:c>
      <x:c r="D28" s="49" t="n">
        <x:f>MAX('Course Matrix'!F24:G24)</x:f>
        <x:v>2</x:v>
      </x:c>
      <x:c r="E28" s="49" t="n">
        <x:f>MAX('Course Matrix'!H24:K24)</x:f>
        <x:v>2</x:v>
      </x:c>
      <x:c r="F28" s="49" t="n">
        <x:f>MAX('Course Matrix'!L24:P24)</x:f>
        <x:v>0</x:v>
      </x:c>
      <x:c r="G28" s="49" t="n">
        <x:f>MAX('Course Matrix'!Q24:U24)</x:f>
        <x:v>2</x:v>
      </x:c>
      <x:c r="H28" s="49" t="n">
        <x:f>MAX('Course Matrix'!V24:Y24)</x:f>
        <x:v>2</x:v>
      </x:c>
      <x:c r="I28" s="49" t="n">
        <x:f>MAX('Course Matrix'!Z24:AA24)</x:f>
        <x:v>2</x:v>
      </x:c>
      <x:c r="J28" s="49" t="n">
        <x:f>'Course Matrix'!AB24</x:f>
        <x:v>0</x:v>
      </x:c>
      <x:c r="K28" s="49" t="n">
        <x:f>'Course Matrix'!AC24</x:f>
        <x:v>12</x:v>
      </x:c>
    </x:row>
    <x:row r="29" ht="21" customHeight="1"/>
    <x:row r="30" ht="21" customHeight="1">
      <x:c r="A30" s="73" t="str">
        <x:v>Legend</x:v>
      </x:c>
      <x:c r="B30" s="75" t="str">
        <x:v>3 = direct / defining</x:v>
      </x:c>
      <x:c r="C30" s="76" t="str">
        <x:v>2 = clear supporting</x:v>
      </x:c>
      <x:c r="D30" s="77" t="str">
        <x:v>1 = indirect / enabling</x:v>
      </x:c>
      <x:c r="E30" s="78" t="str">
        <x:v>0 = not visible in public overview</x:v>
      </x:c>
      <x:c r="F30" s="73" t="str"/>
      <x:c r="G30" s="73" t="str"/>
      <x:c r="H30" s="73" t="str"/>
      <x:c r="I30" s="73" t="str"/>
      <x:c r="J30" s="73" t="str"/>
      <x:c r="K30" s="73" t="str"/>
    </x:row>
    <x:row r="31" ht="21" customHeight="1"/>
    <x:row r="32" ht="21" customHeight="1">
      <x:c r="A32" s="81" t="str">
        <x:v>Leadership use: begin with the dark-orange cells when discussing how SIS habits already live inside AP disciplinary practices. Then examine pale or blank areas as opportunities for deliberate instructional design—not as deficits in the AP curriculum.</x:v>
      </x:c>
      <x:c r="B32" s="81"/>
      <x:c r="C32" s="81"/>
      <x:c r="D32" s="81"/>
      <x:c r="E32" s="81"/>
      <x:c r="F32" s="81"/>
      <x:c r="G32" s="81"/>
      <x:c r="H32" s="81"/>
      <x:c r="I32" s="81"/>
      <x:c r="J32" s="81"/>
      <x:c r="K32" s="81"/>
    </x:row>
    <x:row r="33" ht="21" customHeight="1">
      <x:c r="A33" s="81"/>
      <x:c r="B33" s="81"/>
      <x:c r="C33" s="81"/>
      <x:c r="D33" s="81"/>
      <x:c r="E33" s="81"/>
      <x:c r="F33" s="81"/>
      <x:c r="G33" s="81"/>
      <x:c r="H33" s="81"/>
      <x:c r="I33" s="81"/>
      <x:c r="J33" s="81"/>
      <x:c r="K33" s="81"/>
    </x:row>
  </x:sheetData>
  <x:mergeCells>
    <x:mergeCell ref="A1:R2"/>
    <x:mergeCell ref="A3:R3"/>
    <x:mergeCell ref="A4:B4"/>
    <x:mergeCell ref="C4:E4"/>
    <x:mergeCell ref="F4:G4"/>
    <x:mergeCell ref="H4:J4"/>
    <x:mergeCell ref="K4:L4"/>
    <x:mergeCell ref="M4:O4"/>
    <x:mergeCell ref="A6:J6"/>
    <x:mergeCell ref="K6:R6"/>
    <x:mergeCell ref="A32:K33"/>
  </x:mergeCells>
  <x:conditionalFormatting sqref="C9:I28">
    <x:cfRule type="cellIs" dxfId="0" priority="1" operator="equal">
      <x:formula>3</x:formula>
    </x:cfRule>
    <x:cfRule type="cellIs" dxfId="1" priority="2" operator="equal">
      <x:formula>2</x:formula>
    </x:cfRule>
    <x:cfRule type="cellIs" dxfId="2" priority="3" operator="equal">
      <x:formula>1</x:formula>
    </x:cfRule>
    <x:cfRule type="cellIs" dxfId="3" priority="4" operator="equal">
      <x:formula>0</x:formula>
    </x:cfRule>
  </x:conditionalFormatting>
  <x:pageMargins left="0.7" right="0.7" top="0.75" bottom="0.75" header="0.3" footer="0.3"/>
  <x:drawing xmlns:r="http://schemas.openxmlformats.org/officeDocument/2006/relationships" r:id="R9bfe149c51e74c24"/>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5" hidden="0" customWidth="1"/>
    <x:col min="3" max="3" width="28" hidden="0" customWidth="1"/>
    <x:col min="4" max="4" width="7" hidden="0" customWidth="1"/>
    <x:col min="5" max="5" width="7" hidden="0" customWidth="1"/>
    <x:col min="6" max="6" width="7" hidden="0" customWidth="1"/>
    <x:col min="7" max="7" width="7" hidden="0" customWidth="1"/>
    <x:col min="8" max="8" width="7" hidden="0" customWidth="1"/>
    <x:col min="9" max="9" width="7" hidden="0" customWidth="1"/>
    <x:col min="10" max="10" width="7" hidden="0" customWidth="1"/>
    <x:col min="11" max="11" width="7" hidden="0" customWidth="1"/>
    <x:col min="12" max="12" width="7" hidden="0" customWidth="1"/>
    <x:col min="13" max="13" width="7" hidden="0" customWidth="1"/>
    <x:col min="14" max="14" width="7" hidden="0" customWidth="1"/>
    <x:col min="15" max="15" width="7" hidden="0" customWidth="1"/>
    <x:col min="16" max="16" width="7" hidden="0" customWidth="1"/>
    <x:col min="17" max="17" width="7" hidden="0" customWidth="1"/>
    <x:col min="18" max="18" width="7" hidden="0" customWidth="1"/>
    <x:col min="19" max="19" width="7" hidden="0" customWidth="1"/>
    <x:col min="20" max="20" width="7" hidden="0" customWidth="1"/>
    <x:col min="21" max="21" width="7" hidden="0" customWidth="1"/>
    <x:col min="22" max="22" width="7" hidden="0" customWidth="1"/>
    <x:col min="23" max="23" width="7" hidden="0" customWidth="1"/>
    <x:col min="24" max="24" width="7" hidden="0" customWidth="1"/>
    <x:col min="25" max="25" width="7" hidden="0" customWidth="1"/>
    <x:col min="26" max="26" width="7" hidden="0" customWidth="1"/>
    <x:col min="27" max="27" width="7" hidden="0" customWidth="1"/>
    <x:col min="28" max="28" width="9" hidden="0" customWidth="1"/>
    <x:col min="29" max="29" width="9" hidden="0" customWidth="1"/>
    <x:col min="30" max="30" width="9" hidden="0" customWidth="1"/>
    <x:col min="31" max="31" width="21" hidden="0" customWidth="1"/>
  </x:cols>
  <x:sheetData>
    <x:row r="1" ht="34" customHeight="1">
      <x:c r="A1" s="4" t="str">
        <x:v>Course-by-Course AP Crosswalk</x:v>
      </x:c>
    </x:row>
    <x:row r="2" ht="34" customHeight="1"/>
    <x:row r="3" ht="30" customHeight="1">
      <x:c r="A3" s="7" t="str">
        <x:v>Scores represent an SIS analytical crosswalk to official public AP skill language—not a College Board rating or endorsement. Dark orange = most explicit alignment.</x:v>
      </x:c>
      <x:c r="B3" s="7"/>
      <x:c r="C3" s="7"/>
      <x:c r="D3" s="7"/>
      <x:c r="E3" s="7"/>
      <x:c r="F3" s="7"/>
      <x:c r="G3" s="7"/>
      <x:c r="H3" s="7"/>
      <x:c r="I3" s="7"/>
      <x:c r="J3" s="7"/>
      <x:c r="K3" s="7"/>
      <x:c r="L3" s="7"/>
      <x:c r="M3" s="7"/>
      <x:c r="N3" s="7"/>
      <x:c r="O3" s="7"/>
      <x:c r="P3" s="7"/>
      <x:c r="Q3" s="7"/>
      <x:c r="R3" s="7"/>
      <x:c r="S3" s="7"/>
      <x:c r="T3" s="7"/>
      <x:c r="U3" s="7"/>
      <x:c r="V3" s="7"/>
      <x:c r="W3" s="7"/>
      <x:c r="X3" s="7"/>
      <x:c r="Y3" s="7"/>
      <x:c r="Z3" s="7"/>
      <x:c r="AA3" s="7"/>
      <x:c r="AB3" s="7"/>
      <x:c r="AC3" s="7"/>
      <x:c r="AD3" s="7"/>
      <x:c r="AE3" s="7"/>
    </x:row>
    <x:row r="4" ht="48" customHeight="1">
      <x:c r="A4" s="92" t="str">
        <x:v>Domain</x:v>
      </x:c>
      <x:c r="B4" s="93" t="str">
        <x:v>No.</x:v>
      </x:c>
      <x:c r="C4" s="93" t="str">
        <x:v>SIS Thinking Habit</x:v>
      </x:c>
      <x:c r="D4" s="93" t="str">
        <x:v>Sem.</x:v>
      </x:c>
      <x:c r="E4" s="93" t="str">
        <x:v>Res.</x:v>
      </x:c>
      <x:c r="F4" s="93" t="str">
        <x:v>Eng
Lang</x:v>
      </x:c>
      <x:c r="G4" s="93" t="str">
        <x:v>Eng
Lit</x:v>
      </x:c>
      <x:c r="H4" s="93" t="str">
        <x:v>2-D</x:v>
      </x:c>
      <x:c r="I4" s="93" t="str">
        <x:v>3-D</x:v>
      </x:c>
      <x:c r="J4" s="93" t="str">
        <x:v>Art
Hist</x:v>
      </x:c>
      <x:c r="K4" s="93" t="str">
        <x:v>Draw</x:v>
      </x:c>
      <x:c r="L4" s="93" t="str">
        <x:v>Calc
AB</x:v>
      </x:c>
      <x:c r="M4" s="93" t="str">
        <x:v>Calc
BC</x:v>
      </x:c>
      <x:c r="N4" s="93" t="str">
        <x:v>CSA</x:v>
      </x:c>
      <x:c r="O4" s="93" t="str">
        <x:v>Precalc</x:v>
      </x:c>
      <x:c r="P4" s="93" t="str">
        <x:v>Stats</x:v>
      </x:c>
      <x:c r="Q4" s="93" t="str">
        <x:v>Bio</x:v>
      </x:c>
      <x:c r="R4" s="93" t="str">
        <x:v>Chem</x:v>
      </x:c>
      <x:c r="S4" s="93" t="str">
        <x:v>Env
Sci</x:v>
      </x:c>
      <x:c r="T4" s="93" t="str">
        <x:v>Phys 1</x:v>
      </x:c>
      <x:c r="U4" s="93" t="str">
        <x:v>Phys 2</x:v>
      </x:c>
      <x:c r="V4" s="93" t="str">
        <x:v>Psych</x:v>
      </x:c>
      <x:c r="W4" s="93" t="str">
        <x:v>World</x:v>
      </x:c>
      <x:c r="X4" s="93" t="str">
        <x:v>Micro/
Macro</x:v>
      </x:c>
      <x:c r="Y4" s="93" t="str">
        <x:v>U.S.
Hist</x:v>
      </x:c>
      <x:c r="Z4" s="93" t="str">
        <x:v>Chinese</x:v>
      </x:c>
      <x:c r="AA4" s="93" t="str">
        <x:v>Spanish</x:v>
      </x:c>
      <x:c r="AB4" s="93" t="str">
        <x:v>Direct
(3)</x:v>
      </x:c>
      <x:c r="AC4" s="93" t="str">
        <x:v>Clear
(2–3)</x:v>
      </x:c>
      <x:c r="AD4" s="93" t="str">
        <x:v>Mean
index</x:v>
      </x:c>
      <x:c r="AE4" s="94" t="str">
        <x:v>AP-wide emphasis</x:v>
      </x:c>
    </x:row>
    <x:row r="5" ht="30" customHeight="1">
      <x:c r="A5" s="113" t="str">
        <x:v>I</x:v>
      </x:c>
      <x:c r="B5" s="113" t="n">
        <x:v>1</x:v>
      </x:c>
      <x:c r="C5" s="51" t="str">
        <x:v>Prior Knowledge Activating</x:v>
      </x:c>
      <x:c r="D5" s="130" t="n">
        <x:v>1</x:v>
      </x:c>
      <x:c r="E5" s="130" t="n">
        <x:v>1</x:v>
      </x:c>
      <x:c r="F5" s="130" t="n">
        <x:v>1</x:v>
      </x:c>
      <x:c r="G5" s="130" t="n">
        <x:v>1</x:v>
      </x:c>
      <x:c r="H5" s="130" t="n">
        <x:v>1</x:v>
      </x:c>
      <x:c r="I5" s="130" t="n">
        <x:v>1</x:v>
      </x:c>
      <x:c r="J5" s="130" t="n">
        <x:v>1</x:v>
      </x:c>
      <x:c r="K5" s="130" t="n">
        <x:v>1</x:v>
      </x:c>
      <x:c r="L5" s="130" t="n">
        <x:v>1</x:v>
      </x:c>
      <x:c r="M5" s="130" t="n">
        <x:v>1</x:v>
      </x:c>
      <x:c r="N5" s="130" t="n">
        <x:v>1</x:v>
      </x:c>
      <x:c r="O5" s="130" t="n">
        <x:v>1</x:v>
      </x:c>
      <x:c r="P5" s="130" t="n">
        <x:v>1</x:v>
      </x:c>
      <x:c r="Q5" s="130" t="n">
        <x:v>1</x:v>
      </x:c>
      <x:c r="R5" s="130" t="n">
        <x:v>1</x:v>
      </x:c>
      <x:c r="S5" s="130" t="n">
        <x:v>1</x:v>
      </x:c>
      <x:c r="T5" s="130" t="n">
        <x:v>1</x:v>
      </x:c>
      <x:c r="U5" s="130" t="n">
        <x:v>1</x:v>
      </x:c>
      <x:c r="V5" s="130" t="n">
        <x:v>1</x:v>
      </x:c>
      <x:c r="W5" s="130" t="n">
        <x:v>1</x:v>
      </x:c>
      <x:c r="X5" s="130" t="n">
        <x:v>1</x:v>
      </x:c>
      <x:c r="Y5" s="130" t="n">
        <x:v>1</x:v>
      </x:c>
      <x:c r="Z5" s="130" t="n">
        <x:v>1</x:v>
      </x:c>
      <x:c r="AA5" s="130" t="n">
        <x:v>1</x:v>
      </x:c>
      <x:c r="AB5" s="130" t="n">
        <x:f>COUNTIF(D5:AA5,3)</x:f>
        <x:v>0</x:v>
      </x:c>
      <x:c r="AC5" s="130" t="n">
        <x:f>COUNTIF(D5:AA5,"&gt;=2")</x:f>
        <x:v>0</x:v>
      </x:c>
      <x:c r="AD5" s="136" t="n">
        <x:f>AVERAGE(D5:AA5)</x:f>
        <x:v>1</x:v>
      </x:c>
      <x:c r="AE5" s="142" t="str">
        <x:f>IF(AB5&gt;=8,"★ Strong AP-wide recurrence","")</x:f>
      </x:c>
    </x:row>
    <x:row r="6" ht="30" customHeight="1">
      <x:c r="A6" s="115" t="str">
        <x:v>I</x:v>
      </x:c>
      <x:c r="B6" s="115" t="n">
        <x:v>2</x:v>
      </x:c>
      <x:c r="C6" s="53" t="str">
        <x:v>Meaning-Making</x:v>
      </x:c>
      <x:c r="D6" s="131" t="n">
        <x:v>2</x:v>
      </x:c>
      <x:c r="E6" s="131" t="n">
        <x:v>2</x:v>
      </x:c>
      <x:c r="F6" s="131" t="n">
        <x:v>3</x:v>
      </x:c>
      <x:c r="G6" s="131" t="n">
        <x:v>3</x:v>
      </x:c>
      <x:c r="H6" s="131" t="n">
        <x:v>2</x:v>
      </x:c>
      <x:c r="I6" s="131" t="n">
        <x:v>2</x:v>
      </x:c>
      <x:c r="J6" s="131" t="n">
        <x:v>3</x:v>
      </x:c>
      <x:c r="K6" s="131" t="n">
        <x:v>2</x:v>
      </x:c>
      <x:c r="L6" s="131" t="n">
        <x:v>0</x:v>
      </x:c>
      <x:c r="M6" s="131" t="n">
        <x:v>0</x:v>
      </x:c>
      <x:c r="N6" s="131" t="n">
        <x:v>0</x:v>
      </x:c>
      <x:c r="O6" s="131" t="n">
        <x:v>0</x:v>
      </x:c>
      <x:c r="P6" s="131" t="n">
        <x:v>2</x:v>
      </x:c>
      <x:c r="Q6" s="131" t="n">
        <x:v>2</x:v>
      </x:c>
      <x:c r="R6" s="131" t="n">
        <x:v>0</x:v>
      </x:c>
      <x:c r="S6" s="131" t="n">
        <x:v>3</x:v>
      </x:c>
      <x:c r="T6" s="131" t="n">
        <x:v>0</x:v>
      </x:c>
      <x:c r="U6" s="131" t="n">
        <x:v>0</x:v>
      </x:c>
      <x:c r="V6" s="131" t="n">
        <x:v>3</x:v>
      </x:c>
      <x:c r="W6" s="131" t="n">
        <x:v>3</x:v>
      </x:c>
      <x:c r="X6" s="131" t="n">
        <x:v>2</x:v>
      </x:c>
      <x:c r="Y6" s="131" t="n">
        <x:v>3</x:v>
      </x:c>
      <x:c r="Z6" s="131" t="n">
        <x:v>3</x:v>
      </x:c>
      <x:c r="AA6" s="131" t="n">
        <x:v>3</x:v>
      </x:c>
      <x:c r="AB6" s="131" t="n">
        <x:f>COUNTIF(D6:AA6,3)</x:f>
        <x:v>9</x:v>
      </x:c>
      <x:c r="AC6" s="131" t="n">
        <x:f>COUNTIF(D6:AA6,"&gt;=2")</x:f>
        <x:v>17</x:v>
      </x:c>
      <x:c r="AD6" s="137" t="n">
        <x:f>AVERAGE(D6:AA6)</x:f>
        <x:v>1.7916666666666667</x:v>
      </x:c>
      <x:c r="AE6" s="143" t="str">
        <x:f>IF(AB6&gt;=8,"★ Strong AP-wide recurrence","")</x:f>
        <x:v>★ Strong AP-wide recurrence</x:v>
      </x:c>
    </x:row>
    <x:row r="7" ht="30" customHeight="1">
      <x:c r="A7" s="115" t="str">
        <x:v>I</x:v>
      </x:c>
      <x:c r="B7" s="115" t="n">
        <x:v>3</x:v>
      </x:c>
      <x:c r="C7" s="53" t="str">
        <x:v>Purposeful Attending</x:v>
      </x:c>
      <x:c r="D7" s="131" t="n">
        <x:v>2</x:v>
      </x:c>
      <x:c r="E7" s="131" t="n">
        <x:v>2</x:v>
      </x:c>
      <x:c r="F7" s="131" t="n">
        <x:v>3</x:v>
      </x:c>
      <x:c r="G7" s="131" t="n">
        <x:v>3</x:v>
      </x:c>
      <x:c r="H7" s="131" t="n">
        <x:v>1</x:v>
      </x:c>
      <x:c r="I7" s="131" t="n">
        <x:v>1</x:v>
      </x:c>
      <x:c r="J7" s="131" t="n">
        <x:v>2</x:v>
      </x:c>
      <x:c r="K7" s="131" t="n">
        <x:v>1</x:v>
      </x:c>
      <x:c r="L7" s="131" t="n">
        <x:v>2</x:v>
      </x:c>
      <x:c r="M7" s="131" t="n">
        <x:v>2</x:v>
      </x:c>
      <x:c r="N7" s="131" t="n">
        <x:v>0</x:v>
      </x:c>
      <x:c r="O7" s="131" t="n">
        <x:v>2</x:v>
      </x:c>
      <x:c r="P7" s="131" t="n">
        <x:v>2</x:v>
      </x:c>
      <x:c r="Q7" s="131" t="n">
        <x:v>0</x:v>
      </x:c>
      <x:c r="R7" s="131" t="n">
        <x:v>0</x:v>
      </x:c>
      <x:c r="S7" s="131" t="n">
        <x:v>0</x:v>
      </x:c>
      <x:c r="T7" s="131" t="n">
        <x:v>0</x:v>
      </x:c>
      <x:c r="U7" s="131" t="n">
        <x:v>0</x:v>
      </x:c>
      <x:c r="V7" s="131" t="n">
        <x:v>2</x:v>
      </x:c>
      <x:c r="W7" s="131" t="n">
        <x:v>2</x:v>
      </x:c>
      <x:c r="X7" s="131" t="n">
        <x:v>2</x:v>
      </x:c>
      <x:c r="Y7" s="131" t="n">
        <x:v>2</x:v>
      </x:c>
      <x:c r="Z7" s="131" t="n">
        <x:v>3</x:v>
      </x:c>
      <x:c r="AA7" s="131" t="n">
        <x:v>3</x:v>
      </x:c>
      <x:c r="AB7" s="131" t="n">
        <x:f>COUNTIF(D7:AA7,3)</x:f>
        <x:v>4</x:v>
      </x:c>
      <x:c r="AC7" s="131" t="n">
        <x:f>COUNTIF(D7:AA7,"&gt;=2")</x:f>
        <x:v>15</x:v>
      </x:c>
      <x:c r="AD7" s="137" t="n">
        <x:f>AVERAGE(D7:AA7)</x:f>
        <x:v>1.5416666666666667</x:v>
      </x:c>
      <x:c r="AE7" s="143" t="str">
        <x:f>IF(AB7&gt;=8,"★ Strong AP-wide recurrence","")</x:f>
      </x:c>
    </x:row>
    <x:row r="8" ht="30" customHeight="1">
      <x:c r="A8" s="115" t="str">
        <x:v>I</x:v>
      </x:c>
      <x:c r="B8" s="115" t="n">
        <x:v>4</x:v>
      </x:c>
      <x:c r="C8" s="53" t="str">
        <x:v>Productive Struggling</x:v>
      </x:c>
      <x:c r="D8" s="131" t="n">
        <x:v>1</x:v>
      </x:c>
      <x:c r="E8" s="131" t="n">
        <x:v>1</x:v>
      </x:c>
      <x:c r="F8" s="131" t="n">
        <x:v>1</x:v>
      </x:c>
      <x:c r="G8" s="131" t="n">
        <x:v>1</x:v>
      </x:c>
      <x:c r="H8" s="131" t="n">
        <x:v>2</x:v>
      </x:c>
      <x:c r="I8" s="131" t="n">
        <x:v>2</x:v>
      </x:c>
      <x:c r="J8" s="131" t="n">
        <x:v>0</x:v>
      </x:c>
      <x:c r="K8" s="131" t="n">
        <x:v>2</x:v>
      </x:c>
      <x:c r="L8" s="131" t="n">
        <x:v>1</x:v>
      </x:c>
      <x:c r="M8" s="131" t="n">
        <x:v>1</x:v>
      </x:c>
      <x:c r="N8" s="131" t="n">
        <x:v>1</x:v>
      </x:c>
      <x:c r="O8" s="131" t="n">
        <x:v>1</x:v>
      </x:c>
      <x:c r="P8" s="131" t="n">
        <x:v>1</x:v>
      </x:c>
      <x:c r="Q8" s="131" t="n">
        <x:v>1</x:v>
      </x:c>
      <x:c r="R8" s="131" t="n">
        <x:v>1</x:v>
      </x:c>
      <x:c r="S8" s="131" t="n">
        <x:v>1</x:v>
      </x:c>
      <x:c r="T8" s="131" t="n">
        <x:v>1</x:v>
      </x:c>
      <x:c r="U8" s="131" t="n">
        <x:v>1</x:v>
      </x:c>
      <x:c r="V8" s="131" t="n">
        <x:v>0</x:v>
      </x:c>
      <x:c r="W8" s="131" t="n">
        <x:v>1</x:v>
      </x:c>
      <x:c r="X8" s="131" t="n">
        <x:v>1</x:v>
      </x:c>
      <x:c r="Y8" s="131" t="n">
        <x:v>1</x:v>
      </x:c>
      <x:c r="Z8" s="131" t="n">
        <x:v>1</x:v>
      </x:c>
      <x:c r="AA8" s="131" t="n">
        <x:v>1</x:v>
      </x:c>
      <x:c r="AB8" s="131" t="n">
        <x:f>COUNTIF(D8:AA8,3)</x:f>
        <x:v>0</x:v>
      </x:c>
      <x:c r="AC8" s="131" t="n">
        <x:f>COUNTIF(D8:AA8,"&gt;=2")</x:f>
        <x:v>3</x:v>
      </x:c>
      <x:c r="AD8" s="137" t="n">
        <x:f>AVERAGE(D8:AA8)</x:f>
        <x:v>1.0416666666666667</x:v>
      </x:c>
      <x:c r="AE8" s="143" t="str">
        <x:f>IF(AB8&gt;=8,"★ Strong AP-wide recurrence","")</x:f>
      </x:c>
    </x:row>
    <x:row r="9" ht="30" customHeight="1">
      <x:c r="A9" s="115" t="str">
        <x:v>I</x:v>
      </x:c>
      <x:c r="B9" s="115" t="n">
        <x:v>5</x:v>
      </x:c>
      <x:c r="C9" s="53" t="str">
        <x:v>Questioning Deeply</x:v>
      </x:c>
      <x:c r="D9" s="131" t="n">
        <x:v>3</x:v>
      </x:c>
      <x:c r="E9" s="131" t="n">
        <x:v>3</x:v>
      </x:c>
      <x:c r="F9" s="131" t="n">
        <x:v>2</x:v>
      </x:c>
      <x:c r="G9" s="131" t="n">
        <x:v>2</x:v>
      </x:c>
      <x:c r="H9" s="131" t="n">
        <x:v>3</x:v>
      </x:c>
      <x:c r="I9" s="131" t="n">
        <x:v>3</x:v>
      </x:c>
      <x:c r="J9" s="131" t="n">
        <x:v>2</x:v>
      </x:c>
      <x:c r="K9" s="131" t="n">
        <x:v>3</x:v>
      </x:c>
      <x:c r="L9" s="131" t="n">
        <x:v>0</x:v>
      </x:c>
      <x:c r="M9" s="131" t="n">
        <x:v>0</x:v>
      </x:c>
      <x:c r="N9" s="131" t="n">
        <x:v>0</x:v>
      </x:c>
      <x:c r="O9" s="131" t="n">
        <x:v>0</x:v>
      </x:c>
      <x:c r="P9" s="131" t="n">
        <x:v>0</x:v>
      </x:c>
      <x:c r="Q9" s="131" t="n">
        <x:v>2</x:v>
      </x:c>
      <x:c r="R9" s="131" t="n">
        <x:v>2</x:v>
      </x:c>
      <x:c r="S9" s="131" t="n">
        <x:v>2</x:v>
      </x:c>
      <x:c r="T9" s="131" t="n">
        <x:v>2</x:v>
      </x:c>
      <x:c r="U9" s="131" t="n">
        <x:v>2</x:v>
      </x:c>
      <x:c r="V9" s="131" t="n">
        <x:v>2</x:v>
      </x:c>
      <x:c r="W9" s="131" t="n">
        <x:v>2</x:v>
      </x:c>
      <x:c r="X9" s="131" t="n">
        <x:v>0</x:v>
      </x:c>
      <x:c r="Y9" s="131" t="n">
        <x:v>2</x:v>
      </x:c>
      <x:c r="Z9" s="131" t="n">
        <x:v>0</x:v>
      </x:c>
      <x:c r="AA9" s="131" t="n">
        <x:v>0</x:v>
      </x:c>
      <x:c r="AB9" s="131" t="n">
        <x:f>COUNTIF(D9:AA9,3)</x:f>
        <x:v>5</x:v>
      </x:c>
      <x:c r="AC9" s="131" t="n">
        <x:f>COUNTIF(D9:AA9,"&gt;=2")</x:f>
        <x:v>16</x:v>
      </x:c>
      <x:c r="AD9" s="137" t="n">
        <x:f>AVERAGE(D9:AA9)</x:f>
        <x:v>1.5416666666666667</x:v>
      </x:c>
      <x:c r="AE9" s="143" t="str">
        <x:f>IF(AB9&gt;=8,"★ Strong AP-wide recurrence","")</x:f>
      </x:c>
    </x:row>
    <x:row r="10" ht="30" customHeight="1">
      <x:c r="A10" s="117" t="str">
        <x:v>II</x:v>
      </x:c>
      <x:c r="B10" s="117" t="n">
        <x:v>6</x:v>
      </x:c>
      <x:c r="C10" s="55" t="str">
        <x:v>Elaborating</x:v>
      </x:c>
      <x:c r="D10" s="131" t="n">
        <x:v>2</x:v>
      </x:c>
      <x:c r="E10" s="131" t="n">
        <x:v>2</x:v>
      </x:c>
      <x:c r="F10" s="131" t="n">
        <x:v>3</x:v>
      </x:c>
      <x:c r="G10" s="131" t="n">
        <x:v>3</x:v>
      </x:c>
      <x:c r="H10" s="131" t="n">
        <x:v>0</x:v>
      </x:c>
      <x:c r="I10" s="131" t="n">
        <x:v>0</x:v>
      </x:c>
      <x:c r="J10" s="131" t="n">
        <x:v>2</x:v>
      </x:c>
      <x:c r="K10" s="131" t="n">
        <x:v>0</x:v>
      </x:c>
      <x:c r="L10" s="131" t="n">
        <x:v>0</x:v>
      </x:c>
      <x:c r="M10" s="131" t="n">
        <x:v>0</x:v>
      </x:c>
      <x:c r="N10" s="131" t="n">
        <x:v>0</x:v>
      </x:c>
      <x:c r="O10" s="131" t="n">
        <x:v>0</x:v>
      </x:c>
      <x:c r="P10" s="131" t="n">
        <x:v>0</x:v>
      </x:c>
      <x:c r="Q10" s="131" t="n">
        <x:v>0</x:v>
      </x:c>
      <x:c r="R10" s="131" t="n">
        <x:v>0</x:v>
      </x:c>
      <x:c r="S10" s="131" t="n">
        <x:v>0</x:v>
      </x:c>
      <x:c r="T10" s="131" t="n">
        <x:v>0</x:v>
      </x:c>
      <x:c r="U10" s="131" t="n">
        <x:v>0</x:v>
      </x:c>
      <x:c r="V10" s="131" t="n">
        <x:v>0</x:v>
      </x:c>
      <x:c r="W10" s="131" t="n">
        <x:v>2</x:v>
      </x:c>
      <x:c r="X10" s="131" t="n">
        <x:v>0</x:v>
      </x:c>
      <x:c r="Y10" s="131" t="n">
        <x:v>2</x:v>
      </x:c>
      <x:c r="Z10" s="131" t="n">
        <x:v>2</x:v>
      </x:c>
      <x:c r="AA10" s="131" t="n">
        <x:v>2</x:v>
      </x:c>
      <x:c r="AB10" s="131" t="n">
        <x:f>COUNTIF(D10:AA10,3)</x:f>
        <x:v>2</x:v>
      </x:c>
      <x:c r="AC10" s="131" t="n">
        <x:f>COUNTIF(D10:AA10,"&gt;=2")</x:f>
        <x:v>9</x:v>
      </x:c>
      <x:c r="AD10" s="137" t="n">
        <x:f>AVERAGE(D10:AA10)</x:f>
        <x:v>0.8333333333333334</x:v>
      </x:c>
      <x:c r="AE10" s="143" t="str">
        <x:f>IF(AB10&gt;=8,"★ Strong AP-wide recurrence","")</x:f>
      </x:c>
    </x:row>
    <x:row r="11" ht="30" customHeight="1">
      <x:c r="A11" s="117" t="str">
        <x:v>II</x:v>
      </x:c>
      <x:c r="B11" s="117" t="n">
        <x:v>7</x:v>
      </x:c>
      <x:c r="C11" s="55" t="str">
        <x:v>Connecting Across Concepts</x:v>
      </x:c>
      <x:c r="D11" s="131" t="n">
        <x:v>3</x:v>
      </x:c>
      <x:c r="E11" s="131" t="n">
        <x:v>3</x:v>
      </x:c>
      <x:c r="F11" s="131" t="n">
        <x:v>3</x:v>
      </x:c>
      <x:c r="G11" s="131" t="n">
        <x:v>3</x:v>
      </x:c>
      <x:c r="H11" s="131" t="n">
        <x:v>2</x:v>
      </x:c>
      <x:c r="I11" s="131" t="n">
        <x:v>2</x:v>
      </x:c>
      <x:c r="J11" s="131" t="n">
        <x:v>3</x:v>
      </x:c>
      <x:c r="K11" s="131" t="n">
        <x:v>2</x:v>
      </x:c>
      <x:c r="L11" s="131" t="n">
        <x:v>3</x:v>
      </x:c>
      <x:c r="M11" s="131" t="n">
        <x:v>3</x:v>
      </x:c>
      <x:c r="N11" s="131" t="n">
        <x:v>2</x:v>
      </x:c>
      <x:c r="O11" s="131" t="n">
        <x:v>3</x:v>
      </x:c>
      <x:c r="P11" s="131" t="n">
        <x:v>3</x:v>
      </x:c>
      <x:c r="Q11" s="131" t="n">
        <x:v>3</x:v>
      </x:c>
      <x:c r="R11" s="131" t="n">
        <x:v>3</x:v>
      </x:c>
      <x:c r="S11" s="131" t="n">
        <x:v>3</x:v>
      </x:c>
      <x:c r="T11" s="131" t="n">
        <x:v>3</x:v>
      </x:c>
      <x:c r="U11" s="131" t="n">
        <x:v>3</x:v>
      </x:c>
      <x:c r="V11" s="131" t="n">
        <x:v>3</x:v>
      </x:c>
      <x:c r="W11" s="131" t="n">
        <x:v>3</x:v>
      </x:c>
      <x:c r="X11" s="131" t="n">
        <x:v>3</x:v>
      </x:c>
      <x:c r="Y11" s="131" t="n">
        <x:v>3</x:v>
      </x:c>
      <x:c r="Z11" s="131" t="n">
        <x:v>2</x:v>
      </x:c>
      <x:c r="AA11" s="131" t="n">
        <x:v>2</x:v>
      </x:c>
      <x:c r="AB11" s="131" t="n">
        <x:f>COUNTIF(D11:AA11,3)</x:f>
        <x:v>18</x:v>
      </x:c>
      <x:c r="AC11" s="131" t="n">
        <x:f>COUNTIF(D11:AA11,"&gt;=2")</x:f>
        <x:v>24</x:v>
      </x:c>
      <x:c r="AD11" s="137" t="n">
        <x:f>AVERAGE(D11:AA11)</x:f>
        <x:v>2.75</x:v>
      </x:c>
      <x:c r="AE11" s="143" t="str">
        <x:f>IF(AB11&gt;=8,"★ Strong AP-wide recurrence","")</x:f>
        <x:v>★ Strong AP-wide recurrence</x:v>
      </x:c>
    </x:row>
    <x:row r="12" ht="30" customHeight="1">
      <x:c r="A12" s="117" t="str">
        <x:v>II</x:v>
      </x:c>
      <x:c r="B12" s="117" t="n">
        <x:v>8</x:v>
      </x:c>
      <x:c r="C12" s="55" t="str">
        <x:v>Analogical Reasoning</x:v>
      </x:c>
      <x:c r="D12" s="131" t="n">
        <x:v>0</x:v>
      </x:c>
      <x:c r="E12" s="131" t="n">
        <x:v>0</x:v>
      </x:c>
      <x:c r="F12" s="131" t="n">
        <x:v>2</x:v>
      </x:c>
      <x:c r="G12" s="131" t="n">
        <x:v>3</x:v>
      </x:c>
      <x:c r="H12" s="131" t="n">
        <x:v>1</x:v>
      </x:c>
      <x:c r="I12" s="131" t="n">
        <x:v>1</x:v>
      </x:c>
      <x:c r="J12" s="131" t="n">
        <x:v>2</x:v>
      </x:c>
      <x:c r="K12" s="131" t="n">
        <x:v>1</x:v>
      </x:c>
      <x:c r="L12" s="131" t="n">
        <x:v>0</x:v>
      </x:c>
      <x:c r="M12" s="131" t="n">
        <x:v>0</x:v>
      </x:c>
      <x:c r="N12" s="131" t="n">
        <x:v>0</x:v>
      </x:c>
      <x:c r="O12" s="131" t="n">
        <x:v>0</x:v>
      </x:c>
      <x:c r="P12" s="131" t="n">
        <x:v>0</x:v>
      </x:c>
      <x:c r="Q12" s="131" t="n">
        <x:v>0</x:v>
      </x:c>
      <x:c r="R12" s="131" t="n">
        <x:v>0</x:v>
      </x:c>
      <x:c r="S12" s="131" t="n">
        <x:v>0</x:v>
      </x:c>
      <x:c r="T12" s="131" t="n">
        <x:v>2</x:v>
      </x:c>
      <x:c r="U12" s="131" t="n">
        <x:v>2</x:v>
      </x:c>
      <x:c r="V12" s="131" t="n">
        <x:v>0</x:v>
      </x:c>
      <x:c r="W12" s="131" t="n">
        <x:v>2</x:v>
      </x:c>
      <x:c r="X12" s="131" t="n">
        <x:v>0</x:v>
      </x:c>
      <x:c r="Y12" s="131" t="n">
        <x:v>2</x:v>
      </x:c>
      <x:c r="Z12" s="131" t="n">
        <x:v>0</x:v>
      </x:c>
      <x:c r="AA12" s="131" t="n">
        <x:v>0</x:v>
      </x:c>
      <x:c r="AB12" s="131" t="n">
        <x:f>COUNTIF(D12:AA12,3)</x:f>
        <x:v>1</x:v>
      </x:c>
      <x:c r="AC12" s="131" t="n">
        <x:f>COUNTIF(D12:AA12,"&gt;=2")</x:f>
        <x:v>7</x:v>
      </x:c>
      <x:c r="AD12" s="137" t="n">
        <x:f>AVERAGE(D12:AA12)</x:f>
        <x:v>0.75</x:v>
      </x:c>
      <x:c r="AE12" s="143" t="str">
        <x:f>IF(AB12&gt;=8,"★ Strong AP-wide recurrence","")</x:f>
      </x:c>
    </x:row>
    <x:row r="13" ht="30" customHeight="1">
      <x:c r="A13" s="117" t="str">
        <x:v>II</x:v>
      </x:c>
      <x:c r="B13" s="117" t="n">
        <x:v>9</x:v>
      </x:c>
      <x:c r="C13" s="55" t="str">
        <x:v>Principled Explaining</x:v>
      </x:c>
      <x:c r="D13" s="131" t="n">
        <x:v>3</x:v>
      </x:c>
      <x:c r="E13" s="131" t="n">
        <x:v>3</x:v>
      </x:c>
      <x:c r="F13" s="131" t="n">
        <x:v>3</x:v>
      </x:c>
      <x:c r="G13" s="131" t="n">
        <x:v>3</x:v>
      </x:c>
      <x:c r="H13" s="131" t="n">
        <x:v>2</x:v>
      </x:c>
      <x:c r="I13" s="131" t="n">
        <x:v>2</x:v>
      </x:c>
      <x:c r="J13" s="131" t="n">
        <x:v>3</x:v>
      </x:c>
      <x:c r="K13" s="131" t="n">
        <x:v>2</x:v>
      </x:c>
      <x:c r="L13" s="131" t="n">
        <x:v>3</x:v>
      </x:c>
      <x:c r="M13" s="131" t="n">
        <x:v>3</x:v>
      </x:c>
      <x:c r="N13" s="131" t="n">
        <x:v>3</x:v>
      </x:c>
      <x:c r="O13" s="131" t="n">
        <x:v>3</x:v>
      </x:c>
      <x:c r="P13" s="131" t="n">
        <x:v>3</x:v>
      </x:c>
      <x:c r="Q13" s="131" t="n">
        <x:v>3</x:v>
      </x:c>
      <x:c r="R13" s="131" t="n">
        <x:v>3</x:v>
      </x:c>
      <x:c r="S13" s="131" t="n">
        <x:v>3</x:v>
      </x:c>
      <x:c r="T13" s="131" t="n">
        <x:v>3</x:v>
      </x:c>
      <x:c r="U13" s="131" t="n">
        <x:v>3</x:v>
      </x:c>
      <x:c r="V13" s="131" t="n">
        <x:v>2</x:v>
      </x:c>
      <x:c r="W13" s="131" t="n">
        <x:v>3</x:v>
      </x:c>
      <x:c r="X13" s="131" t="n">
        <x:v>3</x:v>
      </x:c>
      <x:c r="Y13" s="131" t="n">
        <x:v>3</x:v>
      </x:c>
      <x:c r="Z13" s="131" t="n">
        <x:v>0</x:v>
      </x:c>
      <x:c r="AA13" s="131" t="n">
        <x:v>0</x:v>
      </x:c>
      <x:c r="AB13" s="131" t="n">
        <x:f>COUNTIF(D13:AA13,3)</x:f>
        <x:v>18</x:v>
      </x:c>
      <x:c r="AC13" s="131" t="n">
        <x:f>COUNTIF(D13:AA13,"&gt;=2")</x:f>
        <x:v>22</x:v>
      </x:c>
      <x:c r="AD13" s="137" t="n">
        <x:f>AVERAGE(D13:AA13)</x:f>
        <x:v>2.5833333333333335</x:v>
      </x:c>
      <x:c r="AE13" s="143" t="str">
        <x:f>IF(AB13&gt;=8,"★ Strong AP-wide recurrence","")</x:f>
        <x:v>★ Strong AP-wide recurrence</x:v>
      </x:c>
    </x:row>
    <x:row r="14" ht="30" customHeight="1">
      <x:c r="A14" s="117" t="str">
        <x:v>II</x:v>
      </x:c>
      <x:c r="B14" s="117" t="n">
        <x:v>10</x:v>
      </x:c>
      <x:c r="C14" s="55" t="str">
        <x:v>Contrasting Cases</x:v>
      </x:c>
      <x:c r="D14" s="131" t="n">
        <x:v>3</x:v>
      </x:c>
      <x:c r="E14" s="131" t="n">
        <x:v>2</x:v>
      </x:c>
      <x:c r="F14" s="131" t="n">
        <x:v>3</x:v>
      </x:c>
      <x:c r="G14" s="131" t="n">
        <x:v>2</x:v>
      </x:c>
      <x:c r="H14" s="131" t="n">
        <x:v>0</x:v>
      </x:c>
      <x:c r="I14" s="131" t="n">
        <x:v>0</x:v>
      </x:c>
      <x:c r="J14" s="131" t="n">
        <x:v>3</x:v>
      </x:c>
      <x:c r="K14" s="131" t="n">
        <x:v>0</x:v>
      </x:c>
      <x:c r="L14" s="131" t="n">
        <x:v>0</x:v>
      </x:c>
      <x:c r="M14" s="131" t="n">
        <x:v>0</x:v>
      </x:c>
      <x:c r="N14" s="131" t="n">
        <x:v>0</x:v>
      </x:c>
      <x:c r="O14" s="131" t="n">
        <x:v>0</x:v>
      </x:c>
      <x:c r="P14" s="131" t="n">
        <x:v>2</x:v>
      </x:c>
      <x:c r="Q14" s="131" t="n">
        <x:v>2</x:v>
      </x:c>
      <x:c r="R14" s="131" t="n">
        <x:v>2</x:v>
      </x:c>
      <x:c r="S14" s="131" t="n">
        <x:v>2</x:v>
      </x:c>
      <x:c r="T14" s="131" t="n">
        <x:v>2</x:v>
      </x:c>
      <x:c r="U14" s="131" t="n">
        <x:v>2</x:v>
      </x:c>
      <x:c r="V14" s="131" t="n">
        <x:v>2</x:v>
      </x:c>
      <x:c r="W14" s="131" t="n">
        <x:v>3</x:v>
      </x:c>
      <x:c r="X14" s="131" t="n">
        <x:v>2</x:v>
      </x:c>
      <x:c r="Y14" s="131" t="n">
        <x:v>3</x:v>
      </x:c>
      <x:c r="Z14" s="131" t="n">
        <x:v>0</x:v>
      </x:c>
      <x:c r="AA14" s="131" t="n">
        <x:v>0</x:v>
      </x:c>
      <x:c r="AB14" s="131" t="n">
        <x:f>COUNTIF(D14:AA14,3)</x:f>
        <x:v>5</x:v>
      </x:c>
      <x:c r="AC14" s="131" t="n">
        <x:f>COUNTIF(D14:AA14,"&gt;=2")</x:f>
        <x:v>15</x:v>
      </x:c>
      <x:c r="AD14" s="137" t="n">
        <x:f>AVERAGE(D14:AA14)</x:f>
        <x:v>1.4583333333333333</x:v>
      </x:c>
      <x:c r="AE14" s="143" t="str">
        <x:f>IF(AB14&gt;=8,"★ Strong AP-wide recurrence","")</x:f>
      </x:c>
    </x:row>
    <x:row r="15" ht="30" customHeight="1">
      <x:c r="A15" s="118" t="str">
        <x:v>III</x:v>
      </x:c>
      <x:c r="B15" s="118" t="n">
        <x:v>11</x:v>
      </x:c>
      <x:c r="C15" s="57" t="str">
        <x:v>Effortful Recalling</x:v>
      </x:c>
      <x:c r="D15" s="131" t="n">
        <x:v>1</x:v>
      </x:c>
      <x:c r="E15" s="131" t="n">
        <x:v>1</x:v>
      </x:c>
      <x:c r="F15" s="131" t="n">
        <x:v>1</x:v>
      </x:c>
      <x:c r="G15" s="131" t="n">
        <x:v>1</x:v>
      </x:c>
      <x:c r="H15" s="131" t="n">
        <x:v>0</x:v>
      </x:c>
      <x:c r="I15" s="131" t="n">
        <x:v>0</x:v>
      </x:c>
      <x:c r="J15" s="131" t="n">
        <x:v>1</x:v>
      </x:c>
      <x:c r="K15" s="131" t="n">
        <x:v>0</x:v>
      </x:c>
      <x:c r="L15" s="131" t="n">
        <x:v>1</x:v>
      </x:c>
      <x:c r="M15" s="131" t="n">
        <x:v>1</x:v>
      </x:c>
      <x:c r="N15" s="131" t="n">
        <x:v>1</x:v>
      </x:c>
      <x:c r="O15" s="131" t="n">
        <x:v>1</x:v>
      </x:c>
      <x:c r="P15" s="131" t="n">
        <x:v>1</x:v>
      </x:c>
      <x:c r="Q15" s="131" t="n">
        <x:v>1</x:v>
      </x:c>
      <x:c r="R15" s="131" t="n">
        <x:v>1</x:v>
      </x:c>
      <x:c r="S15" s="131" t="n">
        <x:v>1</x:v>
      </x:c>
      <x:c r="T15" s="131" t="n">
        <x:v>1</x:v>
      </x:c>
      <x:c r="U15" s="131" t="n">
        <x:v>1</x:v>
      </x:c>
      <x:c r="V15" s="131" t="n">
        <x:v>1</x:v>
      </x:c>
      <x:c r="W15" s="131" t="n">
        <x:v>1</x:v>
      </x:c>
      <x:c r="X15" s="131" t="n">
        <x:v>1</x:v>
      </x:c>
      <x:c r="Y15" s="131" t="n">
        <x:v>1</x:v>
      </x:c>
      <x:c r="Z15" s="131" t="n">
        <x:v>2</x:v>
      </x:c>
      <x:c r="AA15" s="131" t="n">
        <x:v>2</x:v>
      </x:c>
      <x:c r="AB15" s="131" t="n">
        <x:f>COUNTIF(D15:AA15,3)</x:f>
        <x:v>0</x:v>
      </x:c>
      <x:c r="AC15" s="131" t="n">
        <x:f>COUNTIF(D15:AA15,"&gt;=2")</x:f>
        <x:v>2</x:v>
      </x:c>
      <x:c r="AD15" s="137" t="n">
        <x:f>AVERAGE(D15:AA15)</x:f>
        <x:v>0.9583333333333334</x:v>
      </x:c>
      <x:c r="AE15" s="143" t="str">
        <x:f>IF(AB15&gt;=8,"★ Strong AP-wide recurrence","")</x:f>
      </x:c>
    </x:row>
    <x:row r="16" ht="30" customHeight="1">
      <x:c r="A16" s="118" t="str">
        <x:v>III</x:v>
      </x:c>
      <x:c r="B16" s="118" t="n">
        <x:v>12</x:v>
      </x:c>
      <x:c r="C16" s="57" t="str">
        <x:v>Predicting</x:v>
      </x:c>
      <x:c r="D16" s="131" t="n">
        <x:v>0</x:v>
      </x:c>
      <x:c r="E16" s="131" t="n">
        <x:v>0</x:v>
      </x:c>
      <x:c r="F16" s="131" t="n">
        <x:v>0</x:v>
      </x:c>
      <x:c r="G16" s="131" t="n">
        <x:v>0</x:v>
      </x:c>
      <x:c r="H16" s="131" t="n">
        <x:v>0</x:v>
      </x:c>
      <x:c r="I16" s="131" t="n">
        <x:v>0</x:v>
      </x:c>
      <x:c r="J16" s="131" t="n">
        <x:v>0</x:v>
      </x:c>
      <x:c r="K16" s="131" t="n">
        <x:v>0</x:v>
      </x:c>
      <x:c r="L16" s="131" t="n">
        <x:v>2</x:v>
      </x:c>
      <x:c r="M16" s="131" t="n">
        <x:v>2</x:v>
      </x:c>
      <x:c r="N16" s="131" t="n">
        <x:v>2</x:v>
      </x:c>
      <x:c r="O16" s="131" t="n">
        <x:v>2</x:v>
      </x:c>
      <x:c r="P16" s="131" t="n">
        <x:v>3</x:v>
      </x:c>
      <x:c r="Q16" s="131" t="n">
        <x:v>3</x:v>
      </x:c>
      <x:c r="R16" s="131" t="n">
        <x:v>3</x:v>
      </x:c>
      <x:c r="S16" s="131" t="n">
        <x:v>2</x:v>
      </x:c>
      <x:c r="T16" s="131" t="n">
        <x:v>3</x:v>
      </x:c>
      <x:c r="U16" s="131" t="n">
        <x:v>3</x:v>
      </x:c>
      <x:c r="V16" s="131" t="n">
        <x:v>2</x:v>
      </x:c>
      <x:c r="W16" s="131" t="n">
        <x:v>0</x:v>
      </x:c>
      <x:c r="X16" s="131" t="n">
        <x:v>3</x:v>
      </x:c>
      <x:c r="Y16" s="131" t="n">
        <x:v>0</x:v>
      </x:c>
      <x:c r="Z16" s="131" t="n">
        <x:v>0</x:v>
      </x:c>
      <x:c r="AA16" s="131" t="n">
        <x:v>0</x:v>
      </x:c>
      <x:c r="AB16" s="131" t="n">
        <x:f>COUNTIF(D16:AA16,3)</x:f>
        <x:v>6</x:v>
      </x:c>
      <x:c r="AC16" s="131" t="n">
        <x:f>COUNTIF(D16:AA16,"&gt;=2")</x:f>
        <x:v>12</x:v>
      </x:c>
      <x:c r="AD16" s="137" t="n">
        <x:f>AVERAGE(D16:AA16)</x:f>
        <x:v>1.25</x:v>
      </x:c>
      <x:c r="AE16" s="143" t="str">
        <x:f>IF(AB16&gt;=8,"★ Strong AP-wide recurrence","")</x:f>
      </x:c>
    </x:row>
    <x:row r="17" ht="30" customHeight="1">
      <x:c r="A17" s="118" t="str">
        <x:v>III</x:v>
      </x:c>
      <x:c r="B17" s="118" t="n">
        <x:v>13</x:v>
      </x:c>
      <x:c r="C17" s="57" t="str">
        <x:v>Hypothesis Testing</x:v>
      </x:c>
      <x:c r="D17" s="131" t="n">
        <x:v>0</x:v>
      </x:c>
      <x:c r="E17" s="131" t="n">
        <x:v>3</x:v>
      </x:c>
      <x:c r="F17" s="131" t="n">
        <x:v>0</x:v>
      </x:c>
      <x:c r="G17" s="131" t="n">
        <x:v>0</x:v>
      </x:c>
      <x:c r="H17" s="131" t="n">
        <x:v>0</x:v>
      </x:c>
      <x:c r="I17" s="131" t="n">
        <x:v>0</x:v>
      </x:c>
      <x:c r="J17" s="131" t="n">
        <x:v>2</x:v>
      </x:c>
      <x:c r="K17" s="131" t="n">
        <x:v>0</x:v>
      </x:c>
      <x:c r="L17" s="131" t="n">
        <x:v>0</x:v>
      </x:c>
      <x:c r="M17" s="131" t="n">
        <x:v>0</x:v>
      </x:c>
      <x:c r="N17" s="131" t="n">
        <x:v>2</x:v>
      </x:c>
      <x:c r="O17" s="131" t="n">
        <x:v>0</x:v>
      </x:c>
      <x:c r="P17" s="131" t="n">
        <x:v>3</x:v>
      </x:c>
      <x:c r="Q17" s="131" t="n">
        <x:v>3</x:v>
      </x:c>
      <x:c r="R17" s="131" t="n">
        <x:v>3</x:v>
      </x:c>
      <x:c r="S17" s="131" t="n">
        <x:v>3</x:v>
      </x:c>
      <x:c r="T17" s="131" t="n">
        <x:v>3</x:v>
      </x:c>
      <x:c r="U17" s="131" t="n">
        <x:v>3</x:v>
      </x:c>
      <x:c r="V17" s="131" t="n">
        <x:v>3</x:v>
      </x:c>
      <x:c r="W17" s="131" t="n">
        <x:v>0</x:v>
      </x:c>
      <x:c r="X17" s="131" t="n">
        <x:v>2</x:v>
      </x:c>
      <x:c r="Y17" s="131" t="n">
        <x:v>0</x:v>
      </x:c>
      <x:c r="Z17" s="131" t="n">
        <x:v>0</x:v>
      </x:c>
      <x:c r="AA17" s="131" t="n">
        <x:v>0</x:v>
      </x:c>
      <x:c r="AB17" s="131" t="n">
        <x:f>COUNTIF(D17:AA17,3)</x:f>
        <x:v>8</x:v>
      </x:c>
      <x:c r="AC17" s="131" t="n">
        <x:f>COUNTIF(D17:AA17,"&gt;=2")</x:f>
        <x:v>11</x:v>
      </x:c>
      <x:c r="AD17" s="137" t="n">
        <x:f>AVERAGE(D17:AA17)</x:f>
        <x:v>1.25</x:v>
      </x:c>
      <x:c r="AE17" s="143" t="str">
        <x:f>IF(AB17&gt;=8,"★ Strong AP-wide recurrence","")</x:f>
        <x:v>★ Strong AP-wide recurrence</x:v>
      </x:c>
    </x:row>
    <x:row r="18" ht="30" customHeight="1">
      <x:c r="A18" s="118" t="str">
        <x:v>III</x:v>
      </x:c>
      <x:c r="B18" s="118" t="n">
        <x:v>14</x:v>
      </x:c>
      <x:c r="C18" s="57" t="str">
        <x:v>Applying</x:v>
      </x:c>
      <x:c r="D18" s="131" t="n">
        <x:v>2</x:v>
      </x:c>
      <x:c r="E18" s="131" t="n">
        <x:v>3</x:v>
      </x:c>
      <x:c r="F18" s="131" t="n">
        <x:v>2</x:v>
      </x:c>
      <x:c r="G18" s="131" t="n">
        <x:v>2</x:v>
      </x:c>
      <x:c r="H18" s="131" t="n">
        <x:v>3</x:v>
      </x:c>
      <x:c r="I18" s="131" t="n">
        <x:v>3</x:v>
      </x:c>
      <x:c r="J18" s="131" t="n">
        <x:v>2</x:v>
      </x:c>
      <x:c r="K18" s="131" t="n">
        <x:v>3</x:v>
      </x:c>
      <x:c r="L18" s="131" t="n">
        <x:v>3</x:v>
      </x:c>
      <x:c r="M18" s="131" t="n">
        <x:v>3</x:v>
      </x:c>
      <x:c r="N18" s="131" t="n">
        <x:v>3</x:v>
      </x:c>
      <x:c r="O18" s="131" t="n">
        <x:v>3</x:v>
      </x:c>
      <x:c r="P18" s="131" t="n">
        <x:v>3</x:v>
      </x:c>
      <x:c r="Q18" s="131" t="n">
        <x:v>3</x:v>
      </x:c>
      <x:c r="R18" s="131" t="n">
        <x:v>3</x:v>
      </x:c>
      <x:c r="S18" s="131" t="n">
        <x:v>3</x:v>
      </x:c>
      <x:c r="T18" s="131" t="n">
        <x:v>3</x:v>
      </x:c>
      <x:c r="U18" s="131" t="n">
        <x:v>3</x:v>
      </x:c>
      <x:c r="V18" s="131" t="n">
        <x:v>3</x:v>
      </x:c>
      <x:c r="W18" s="131" t="n">
        <x:v>2</x:v>
      </x:c>
      <x:c r="X18" s="131" t="n">
        <x:v>3</x:v>
      </x:c>
      <x:c r="Y18" s="131" t="n">
        <x:v>2</x:v>
      </x:c>
      <x:c r="Z18" s="131" t="n">
        <x:v>3</x:v>
      </x:c>
      <x:c r="AA18" s="131" t="n">
        <x:v>3</x:v>
      </x:c>
      <x:c r="AB18" s="131" t="n">
        <x:f>COUNTIF(D18:AA18,3)</x:f>
        <x:v>18</x:v>
      </x:c>
      <x:c r="AC18" s="131" t="n">
        <x:f>COUNTIF(D18:AA18,"&gt;=2")</x:f>
        <x:v>24</x:v>
      </x:c>
      <x:c r="AD18" s="137" t="n">
        <x:f>AVERAGE(D18:AA18)</x:f>
        <x:v>2.75</x:v>
      </x:c>
      <x:c r="AE18" s="143" t="str">
        <x:f>IF(AB18&gt;=8,"★ Strong AP-wide recurrence","")</x:f>
        <x:v>★ Strong AP-wide recurrence</x:v>
      </x:c>
    </x:row>
    <x:row r="19" ht="30" customHeight="1">
      <x:c r="A19" s="118" t="str">
        <x:v>III</x:v>
      </x:c>
      <x:c r="B19" s="118" t="n">
        <x:v>15</x:v>
      </x:c>
      <x:c r="C19" s="57" t="str">
        <x:v>Error Analyzing</x:v>
      </x:c>
      <x:c r="D19" s="131" t="n">
        <x:v>0</x:v>
      </x:c>
      <x:c r="E19" s="131" t="n">
        <x:v>2</x:v>
      </x:c>
      <x:c r="F19" s="131" t="n">
        <x:v>2</x:v>
      </x:c>
      <x:c r="G19" s="131" t="n">
        <x:v>0</x:v>
      </x:c>
      <x:c r="H19" s="131" t="n">
        <x:v>1</x:v>
      </x:c>
      <x:c r="I19" s="131" t="n">
        <x:v>1</x:v>
      </x:c>
      <x:c r="J19" s="131" t="n">
        <x:v>0</x:v>
      </x:c>
      <x:c r="K19" s="131" t="n">
        <x:v>1</x:v>
      </x:c>
      <x:c r="L19" s="131" t="n">
        <x:v>2</x:v>
      </x:c>
      <x:c r="M19" s="131" t="n">
        <x:v>2</x:v>
      </x:c>
      <x:c r="N19" s="131" t="n">
        <x:v>3</x:v>
      </x:c>
      <x:c r="O19" s="131" t="n">
        <x:v>2</x:v>
      </x:c>
      <x:c r="P19" s="131" t="n">
        <x:v>2</x:v>
      </x:c>
      <x:c r="Q19" s="131" t="n">
        <x:v>2</x:v>
      </x:c>
      <x:c r="R19" s="131" t="n">
        <x:v>3</x:v>
      </x:c>
      <x:c r="S19" s="131" t="n">
        <x:v>2</x:v>
      </x:c>
      <x:c r="T19" s="131" t="n">
        <x:v>2</x:v>
      </x:c>
      <x:c r="U19" s="131" t="n">
        <x:v>2</x:v>
      </x:c>
      <x:c r="V19" s="131" t="n">
        <x:v>2</x:v>
      </x:c>
      <x:c r="W19" s="131" t="n">
        <x:v>0</x:v>
      </x:c>
      <x:c r="X19" s="131" t="n">
        <x:v>2</x:v>
      </x:c>
      <x:c r="Y19" s="131" t="n">
        <x:v>0</x:v>
      </x:c>
      <x:c r="Z19" s="131" t="n">
        <x:v>0</x:v>
      </x:c>
      <x:c r="AA19" s="131" t="n">
        <x:v>0</x:v>
      </x:c>
      <x:c r="AB19" s="131" t="n">
        <x:f>COUNTIF(D19:AA19,3)</x:f>
        <x:v>2</x:v>
      </x:c>
      <x:c r="AC19" s="131" t="n">
        <x:f>COUNTIF(D19:AA19,"&gt;=2")</x:f>
        <x:v>14</x:v>
      </x:c>
      <x:c r="AD19" s="137" t="n">
        <x:f>AVERAGE(D19:AA19)</x:f>
        <x:v>1.375</x:v>
      </x:c>
      <x:c r="AE19" s="143" t="str">
        <x:f>IF(AB19&gt;=8,"★ Strong AP-wide recurrence","")</x:f>
      </x:c>
    </x:row>
    <x:row r="20" ht="30" customHeight="1">
      <x:c r="A20" s="119" t="str">
        <x:v>IV</x:v>
      </x:c>
      <x:c r="B20" s="119" t="n">
        <x:v>16</x:v>
      </x:c>
      <x:c r="C20" s="59" t="str">
        <x:v>Calibrating</x:v>
      </x:c>
      <x:c r="D20" s="131" t="n">
        <x:v>2</x:v>
      </x:c>
      <x:c r="E20" s="131" t="n">
        <x:v>2</x:v>
      </x:c>
      <x:c r="F20" s="131" t="n">
        <x:v>1</x:v>
      </x:c>
      <x:c r="G20" s="131" t="n">
        <x:v>0</x:v>
      </x:c>
      <x:c r="H20" s="131" t="n">
        <x:v>2</x:v>
      </x:c>
      <x:c r="I20" s="131" t="n">
        <x:v>2</x:v>
      </x:c>
      <x:c r="J20" s="131" t="n">
        <x:v>0</x:v>
      </x:c>
      <x:c r="K20" s="131" t="n">
        <x:v>2</x:v>
      </x:c>
      <x:c r="L20" s="131" t="n">
        <x:v>1</x:v>
      </x:c>
      <x:c r="M20" s="131" t="n">
        <x:v>1</x:v>
      </x:c>
      <x:c r="N20" s="131" t="n">
        <x:v>2</x:v>
      </x:c>
      <x:c r="O20" s="131" t="n">
        <x:v>1</x:v>
      </x:c>
      <x:c r="P20" s="131" t="n">
        <x:v>3</x:v>
      </x:c>
      <x:c r="Q20" s="131" t="n">
        <x:v>2</x:v>
      </x:c>
      <x:c r="R20" s="131" t="n">
        <x:v>2</x:v>
      </x:c>
      <x:c r="S20" s="131" t="n">
        <x:v>1</x:v>
      </x:c>
      <x:c r="T20" s="131" t="n">
        <x:v>2</x:v>
      </x:c>
      <x:c r="U20" s="131" t="n">
        <x:v>2</x:v>
      </x:c>
      <x:c r="V20" s="131" t="n">
        <x:v>2</x:v>
      </x:c>
      <x:c r="W20" s="131" t="n">
        <x:v>0</x:v>
      </x:c>
      <x:c r="X20" s="131" t="n">
        <x:v>1</x:v>
      </x:c>
      <x:c r="Y20" s="131" t="n">
        <x:v>0</x:v>
      </x:c>
      <x:c r="Z20" s="131" t="n">
        <x:v>2</x:v>
      </x:c>
      <x:c r="AA20" s="131" t="n">
        <x:v>2</x:v>
      </x:c>
      <x:c r="AB20" s="131" t="n">
        <x:f>COUNTIF(D20:AA20,3)</x:f>
        <x:v>1</x:v>
      </x:c>
      <x:c r="AC20" s="131" t="n">
        <x:f>COUNTIF(D20:AA20,"&gt;=2")</x:f>
        <x:v>14</x:v>
      </x:c>
      <x:c r="AD20" s="137" t="n">
        <x:f>AVERAGE(D20:AA20)</x:f>
        <x:v>1.4583333333333333</x:v>
      </x:c>
      <x:c r="AE20" s="143" t="str">
        <x:f>IF(AB20&gt;=8,"★ Strong AP-wide recurrence","")</x:f>
      </x:c>
    </x:row>
    <x:row r="21" ht="30" customHeight="1">
      <x:c r="A21" s="119" t="str">
        <x:v>IV</x:v>
      </x:c>
      <x:c r="B21" s="119" t="n">
        <x:v>17</x:v>
      </x:c>
      <x:c r="C21" s="59" t="str">
        <x:v>Revising Thinking</x:v>
      </x:c>
      <x:c r="D21" s="131" t="n">
        <x:v>2</x:v>
      </x:c>
      <x:c r="E21" s="131" t="n">
        <x:v>3</x:v>
      </x:c>
      <x:c r="F21" s="131" t="n">
        <x:v>3</x:v>
      </x:c>
      <x:c r="G21" s="131" t="n">
        <x:v>2</x:v>
      </x:c>
      <x:c r="H21" s="131" t="n">
        <x:v>3</x:v>
      </x:c>
      <x:c r="I21" s="131" t="n">
        <x:v>3</x:v>
      </x:c>
      <x:c r="J21" s="131" t="n">
        <x:v>0</x:v>
      </x:c>
      <x:c r="K21" s="131" t="n">
        <x:v>3</x:v>
      </x:c>
      <x:c r="L21" s="131" t="n">
        <x:v>0</x:v>
      </x:c>
      <x:c r="M21" s="131" t="n">
        <x:v>0</x:v>
      </x:c>
      <x:c r="N21" s="131" t="n">
        <x:v>3</x:v>
      </x:c>
      <x:c r="O21" s="131" t="n">
        <x:v>0</x:v>
      </x:c>
      <x:c r="P21" s="131" t="n">
        <x:v>2</x:v>
      </x:c>
      <x:c r="Q21" s="131" t="n">
        <x:v>2</x:v>
      </x:c>
      <x:c r="R21" s="131" t="n">
        <x:v>2</x:v>
      </x:c>
      <x:c r="S21" s="131" t="n">
        <x:v>2</x:v>
      </x:c>
      <x:c r="T21" s="131" t="n">
        <x:v>2</x:v>
      </x:c>
      <x:c r="U21" s="131" t="n">
        <x:v>2</x:v>
      </x:c>
      <x:c r="V21" s="131" t="n">
        <x:v>0</x:v>
      </x:c>
      <x:c r="W21" s="131" t="n">
        <x:v>2</x:v>
      </x:c>
      <x:c r="X21" s="131" t="n">
        <x:v>0</x:v>
      </x:c>
      <x:c r="Y21" s="131" t="n">
        <x:v>2</x:v>
      </x:c>
      <x:c r="Z21" s="131" t="n">
        <x:v>2</x:v>
      </x:c>
      <x:c r="AA21" s="131" t="n">
        <x:v>2</x:v>
      </x:c>
      <x:c r="AB21" s="131" t="n">
        <x:f>COUNTIF(D21:AA21,3)</x:f>
        <x:v>6</x:v>
      </x:c>
      <x:c r="AC21" s="131" t="n">
        <x:f>COUNTIF(D21:AA21,"&gt;=2")</x:f>
        <x:v>18</x:v>
      </x:c>
      <x:c r="AD21" s="137" t="n">
        <x:f>AVERAGE(D21:AA21)</x:f>
        <x:v>1.75</x:v>
      </x:c>
      <x:c r="AE21" s="143" t="str">
        <x:f>IF(AB21&gt;=8,"★ Strong AP-wide recurrence","")</x:f>
      </x:c>
    </x:row>
    <x:row r="22" ht="30" customHeight="1">
      <x:c r="A22" s="119" t="str">
        <x:v>IV</x:v>
      </x:c>
      <x:c r="B22" s="119" t="n">
        <x:v>18</x:v>
      </x:c>
      <x:c r="C22" s="59" t="str">
        <x:v>Sustaining Focus</x:v>
      </x:c>
      <x:c r="D22" s="131" t="n">
        <x:v>1</x:v>
      </x:c>
      <x:c r="E22" s="131" t="n">
        <x:v>3</x:v>
      </x:c>
      <x:c r="F22" s="131" t="n">
        <x:v>1</x:v>
      </x:c>
      <x:c r="G22" s="131" t="n">
        <x:v>1</x:v>
      </x:c>
      <x:c r="H22" s="131" t="n">
        <x:v>2</x:v>
      </x:c>
      <x:c r="I22" s="131" t="n">
        <x:v>2</x:v>
      </x:c>
      <x:c r="J22" s="131" t="n">
        <x:v>1</x:v>
      </x:c>
      <x:c r="K22" s="131" t="n">
        <x:v>2</x:v>
      </x:c>
      <x:c r="L22" s="131" t="n">
        <x:v>1</x:v>
      </x:c>
      <x:c r="M22" s="131" t="n">
        <x:v>1</x:v>
      </x:c>
      <x:c r="N22" s="131" t="n">
        <x:v>2</x:v>
      </x:c>
      <x:c r="O22" s="131" t="n">
        <x:v>1</x:v>
      </x:c>
      <x:c r="P22" s="131" t="n">
        <x:v>1</x:v>
      </x:c>
      <x:c r="Q22" s="131" t="n">
        <x:v>1</x:v>
      </x:c>
      <x:c r="R22" s="131" t="n">
        <x:v>1</x:v>
      </x:c>
      <x:c r="S22" s="131" t="n">
        <x:v>1</x:v>
      </x:c>
      <x:c r="T22" s="131" t="n">
        <x:v>1</x:v>
      </x:c>
      <x:c r="U22" s="131" t="n">
        <x:v>1</x:v>
      </x:c>
      <x:c r="V22" s="131" t="n">
        <x:v>1</x:v>
      </x:c>
      <x:c r="W22" s="131" t="n">
        <x:v>1</x:v>
      </x:c>
      <x:c r="X22" s="131" t="n">
        <x:v>1</x:v>
      </x:c>
      <x:c r="Y22" s="131" t="n">
        <x:v>1</x:v>
      </x:c>
      <x:c r="Z22" s="131" t="n">
        <x:v>1</x:v>
      </x:c>
      <x:c r="AA22" s="131" t="n">
        <x:v>1</x:v>
      </x:c>
      <x:c r="AB22" s="131" t="n">
        <x:f>COUNTIF(D22:AA22,3)</x:f>
        <x:v>1</x:v>
      </x:c>
      <x:c r="AC22" s="131" t="n">
        <x:f>COUNTIF(D22:AA22,"&gt;=2")</x:f>
        <x:v>5</x:v>
      </x:c>
      <x:c r="AD22" s="137" t="n">
        <x:f>AVERAGE(D22:AA22)</x:f>
        <x:v>1.25</x:v>
      </x:c>
      <x:c r="AE22" s="143" t="str">
        <x:f>IF(AB22&gt;=8,"★ Strong AP-wide recurrence","")</x:f>
      </x:c>
    </x:row>
    <x:row r="23" ht="30" customHeight="1">
      <x:c r="A23" s="119" t="str">
        <x:v>IV</x:v>
      </x:c>
      <x:c r="B23" s="119" t="n">
        <x:v>19</x:v>
      </x:c>
      <x:c r="C23" s="59" t="str">
        <x:v>Reasoning Aloud</x:v>
      </x:c>
      <x:c r="D23" s="131" t="n">
        <x:v>3</x:v>
      </x:c>
      <x:c r="E23" s="131" t="n">
        <x:v>2</x:v>
      </x:c>
      <x:c r="F23" s="131" t="n">
        <x:v>2</x:v>
      </x:c>
      <x:c r="G23" s="131" t="n">
        <x:v>2</x:v>
      </x:c>
      <x:c r="H23" s="131" t="n">
        <x:v>2</x:v>
      </x:c>
      <x:c r="I23" s="131" t="n">
        <x:v>2</x:v>
      </x:c>
      <x:c r="J23" s="131" t="n">
        <x:v>2</x:v>
      </x:c>
      <x:c r="K23" s="131" t="n">
        <x:v>2</x:v>
      </x:c>
      <x:c r="L23" s="131" t="n">
        <x:v>2</x:v>
      </x:c>
      <x:c r="M23" s="131" t="n">
        <x:v>2</x:v>
      </x:c>
      <x:c r="N23" s="131" t="n">
        <x:v>2</x:v>
      </x:c>
      <x:c r="O23" s="131" t="n">
        <x:v>2</x:v>
      </x:c>
      <x:c r="P23" s="131" t="n">
        <x:v>2</x:v>
      </x:c>
      <x:c r="Q23" s="131" t="n">
        <x:v>2</x:v>
      </x:c>
      <x:c r="R23" s="131" t="n">
        <x:v>2</x:v>
      </x:c>
      <x:c r="S23" s="131" t="n">
        <x:v>2</x:v>
      </x:c>
      <x:c r="T23" s="131" t="n">
        <x:v>2</x:v>
      </x:c>
      <x:c r="U23" s="131" t="n">
        <x:v>2</x:v>
      </x:c>
      <x:c r="V23" s="131" t="n">
        <x:v>0</x:v>
      </x:c>
      <x:c r="W23" s="131" t="n">
        <x:v>2</x:v>
      </x:c>
      <x:c r="X23" s="131" t="n">
        <x:v>2</x:v>
      </x:c>
      <x:c r="Y23" s="131" t="n">
        <x:v>2</x:v>
      </x:c>
      <x:c r="Z23" s="131" t="n">
        <x:v>3</x:v>
      </x:c>
      <x:c r="AA23" s="131" t="n">
        <x:v>3</x:v>
      </x:c>
      <x:c r="AB23" s="131" t="n">
        <x:f>COUNTIF(D23:AA23,3)</x:f>
        <x:v>3</x:v>
      </x:c>
      <x:c r="AC23" s="131" t="n">
        <x:f>COUNTIF(D23:AA23,"&gt;=2")</x:f>
        <x:v>23</x:v>
      </x:c>
      <x:c r="AD23" s="137" t="n">
        <x:f>AVERAGE(D23:AA23)</x:f>
        <x:v>2.0416666666666665</x:v>
      </x:c>
      <x:c r="AE23" s="143" t="str">
        <x:f>IF(AB23&gt;=8,"★ Strong AP-wide recurrence","")</x:f>
      </x:c>
    </x:row>
    <x:row r="24" ht="30" customHeight="1">
      <x:c r="A24" s="120" t="str">
        <x:v>IV</x:v>
      </x:c>
      <x:c r="B24" s="120" t="n">
        <x:v>20</x:v>
      </x:c>
      <x:c r="C24" s="123" t="str">
        <x:v>Intellectual Courage</x:v>
      </x:c>
      <x:c r="D24" s="132" t="n">
        <x:v>2</x:v>
      </x:c>
      <x:c r="E24" s="132" t="n">
        <x:v>2</x:v>
      </x:c>
      <x:c r="F24" s="132" t="n">
        <x:v>2</x:v>
      </x:c>
      <x:c r="G24" s="132" t="n">
        <x:v>2</x:v>
      </x:c>
      <x:c r="H24" s="132" t="n">
        <x:v>2</x:v>
      </x:c>
      <x:c r="I24" s="132" t="n">
        <x:v>2</x:v>
      </x:c>
      <x:c r="J24" s="132" t="n">
        <x:v>0</x:v>
      </x:c>
      <x:c r="K24" s="132" t="n">
        <x:v>2</x:v>
      </x:c>
      <x:c r="L24" s="132" t="n">
        <x:v>0</x:v>
      </x:c>
      <x:c r="M24" s="132" t="n">
        <x:v>0</x:v>
      </x:c>
      <x:c r="N24" s="132" t="n">
        <x:v>0</x:v>
      </x:c>
      <x:c r="O24" s="132" t="n">
        <x:v>0</x:v>
      </x:c>
      <x:c r="P24" s="132" t="n">
        <x:v>0</x:v>
      </x:c>
      <x:c r="Q24" s="132" t="n">
        <x:v>0</x:v>
      </x:c>
      <x:c r="R24" s="132" t="n">
        <x:v>0</x:v>
      </x:c>
      <x:c r="S24" s="132" t="n">
        <x:v>2</x:v>
      </x:c>
      <x:c r="T24" s="132" t="n">
        <x:v>0</x:v>
      </x:c>
      <x:c r="U24" s="132" t="n">
        <x:v>0</x:v>
      </x:c>
      <x:c r="V24" s="132" t="n">
        <x:v>0</x:v>
      </x:c>
      <x:c r="W24" s="132" t="n">
        <x:v>2</x:v>
      </x:c>
      <x:c r="X24" s="132" t="n">
        <x:v>0</x:v>
      </x:c>
      <x:c r="Y24" s="132" t="n">
        <x:v>2</x:v>
      </x:c>
      <x:c r="Z24" s="132" t="n">
        <x:v>2</x:v>
      </x:c>
      <x:c r="AA24" s="132" t="n">
        <x:v>2</x:v>
      </x:c>
      <x:c r="AB24" s="132" t="n">
        <x:f>COUNTIF(D24:AA24,3)</x:f>
        <x:v>0</x:v>
      </x:c>
      <x:c r="AC24" s="132" t="n">
        <x:f>COUNTIF(D24:AA24,"&gt;=2")</x:f>
        <x:v>12</x:v>
      </x:c>
      <x:c r="AD24" s="138" t="n">
        <x:f>AVERAGE(D24:AA24)</x:f>
        <x:v>1</x:v>
      </x:c>
      <x:c r="AE24" s="144" t="str">
        <x:f>IF(AB24&gt;=8,"★ Strong AP-wide recurrence","")</x:f>
      </x:c>
    </x:row>
    <x:row r="25" ht="20" customHeight="1"/>
    <x:row r="26" ht="20" customHeight="1">
      <x:c r="A26" s="147" t="str">
        <x:v>Scoring caution: a 0 means the habit was not evident in the public AP overview used for this crosswalk. It does not mean the habit is absent from strong classroom teaching, local SIS course design, AP Classroom resources, or a full Course and Exam Description.</x:v>
      </x:c>
      <x:c r="B26" s="147"/>
      <x:c r="C26" s="147"/>
      <x:c r="D26" s="147"/>
      <x:c r="E26" s="147"/>
      <x:c r="F26" s="147"/>
      <x:c r="G26" s="147"/>
      <x:c r="H26" s="147"/>
      <x:c r="I26" s="147"/>
      <x:c r="J26" s="147"/>
      <x:c r="K26" s="147"/>
      <x:c r="L26" s="147"/>
      <x:c r="M26" s="147"/>
      <x:c r="N26" s="147"/>
      <x:c r="O26" s="147"/>
      <x:c r="P26" s="147"/>
      <x:c r="Q26" s="147"/>
      <x:c r="R26" s="147"/>
      <x:c r="S26" s="147"/>
      <x:c r="T26" s="147"/>
      <x:c r="U26" s="147"/>
      <x:c r="V26" s="147"/>
      <x:c r="W26" s="147"/>
      <x:c r="X26" s="147"/>
      <x:c r="Y26" s="147"/>
      <x:c r="Z26" s="147"/>
      <x:c r="AA26" s="147"/>
      <x:c r="AB26" s="147"/>
      <x:c r="AC26" s="147"/>
      <x:c r="AD26" s="147"/>
      <x:c r="AE26" s="147"/>
    </x:row>
    <x:row r="27" ht="20" customHeight="1">
      <x:c r="A27" s="147"/>
      <x:c r="B27" s="147"/>
      <x:c r="C27" s="147"/>
      <x:c r="D27" s="147"/>
      <x:c r="E27" s="147"/>
      <x:c r="F27" s="147"/>
      <x:c r="G27" s="147"/>
      <x:c r="H27" s="147"/>
      <x:c r="I27" s="147"/>
      <x:c r="J27" s="147"/>
      <x:c r="K27" s="147"/>
      <x:c r="L27" s="147"/>
      <x:c r="M27" s="147"/>
      <x:c r="N27" s="147"/>
      <x:c r="O27" s="147"/>
      <x:c r="P27" s="147"/>
      <x:c r="Q27" s="147"/>
      <x:c r="R27" s="147"/>
      <x:c r="S27" s="147"/>
      <x:c r="T27" s="147"/>
      <x:c r="U27" s="147"/>
      <x:c r="V27" s="147"/>
      <x:c r="W27" s="147"/>
      <x:c r="X27" s="147"/>
      <x:c r="Y27" s="147"/>
      <x:c r="Z27" s="147"/>
      <x:c r="AA27" s="147"/>
      <x:c r="AB27" s="147"/>
      <x:c r="AC27" s="147"/>
      <x:c r="AD27" s="147"/>
      <x:c r="AE27" s="147"/>
    </x:row>
  </x:sheetData>
  <x:mergeCells>
    <x:mergeCell ref="A1:AE2"/>
    <x:mergeCell ref="A3:AE3"/>
    <x:mergeCell ref="A26:AE27"/>
  </x:mergeCells>
  <x:conditionalFormatting sqref="D5:AA24">
    <x:cfRule type="cellIs" dxfId="4" priority="1" operator="equal">
      <x:formula>3</x:formula>
    </x:cfRule>
    <x:cfRule type="cellIs" dxfId="5" priority="2" operator="equal">
      <x:formula>2</x:formula>
    </x:cfRule>
    <x:cfRule type="cellIs" dxfId="6" priority="3" operator="equal">
      <x:formula>1</x:formula>
    </x:cfRule>
    <x:cfRule type="cellIs" dxfId="7" priority="4" operator="equal">
      <x:formula>0</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1" hidden="0" customWidth="1"/>
    <x:col min="3" max="3" width="48" hidden="0" customWidth="1"/>
    <x:col min="4" max="4" width="48" hidden="0" customWidth="1"/>
    <x:col min="5" max="5" width="45" hidden="0" customWidth="1"/>
    <x:col min="6" max="6" width="45" hidden="0" customWidth="1"/>
  </x:cols>
  <x:sheetData>
    <x:row r="1" ht="34" customHeight="1">
      <x:c r="A1" s="4" t="str">
        <x:v>Course Evidence and Primary Sources</x:v>
      </x:c>
    </x:row>
    <x:row r="2" ht="34" customHeight="1"/>
    <x:row r="3" ht="30" customHeight="1">
      <x:c r="A3" s="7" t="str">
        <x:v>Each row summarizes the official public AP skills used to make the crosswalk. The SIS course list is grounded in the SIS High School Academics page.</x:v>
      </x:c>
      <x:c r="B3" s="7"/>
      <x:c r="C3" s="7"/>
      <x:c r="D3" s="7"/>
      <x:c r="E3" s="7"/>
      <x:c r="F3" s="7"/>
    </x:row>
    <x:row r="4" ht="36" customHeight="1">
      <x:c r="A4" s="148" t="str">
        <x:v>Discipline</x:v>
      </x:c>
      <x:c r="B4" s="148" t="str">
        <x:v>SIS AP offering</x:v>
      </x:c>
      <x:c r="C4" s="148" t="str">
        <x:v>Official skill emphasis (paraphrased)</x:v>
      </x:c>
      <x:c r="D4" s="148" t="str">
        <x:v>Strongest SIS habit connections</x:v>
      </x:c>
      <x:c r="E4" s="148" t="str">
        <x:v>College Board source</x:v>
      </x:c>
      <x:c r="F4" s="148" t="str">
        <x:v>Additional source</x:v>
      </x:c>
    </x:row>
    <x:row r="5" ht="72" customHeight="1">
      <x:c r="A5" s="152" t="str">
        <x:v>AP Capstone</x:v>
      </x:c>
      <x:c r="B5" s="152" t="str">
        <x:v>AP Seminar</x:v>
      </x:c>
      <x:c r="C5" s="152" t="str">
        <x:v>Analyze sources, compare perspectives, synthesize evidence, and construct and present arguments.</x:v>
      </x:c>
      <x:c r="D5" s="152" t="str">
        <x:v>Questioning Deeply; Connecting Across Concepts; Contrasting Cases; Principled Explaining; Reasoning Aloud</x:v>
      </x:c>
      <x:c r="E5" s="152" t="str">
        <x:v>https://apstudents.collegeboard.org/courses/ap-seminar</x:v>
      </x:c>
      <x:c r="F5" s="152" t="str"/>
    </x:row>
    <x:row r="6" ht="72" customHeight="1">
      <x:c r="A6" s="155" t="str">
        <x:v>AP Capstone</x:v>
      </x:c>
      <x:c r="B6" s="155" t="str">
        <x:v>AP Research</x:v>
      </x:c>
      <x:c r="C6" s="155" t="str">
        <x:v>Conduct independent research, analyze evidence, apply context and perspective, and present findings.</x:v>
      </x:c>
      <x:c r="D6" s="155" t="str">
        <x:v>Questioning Deeply; Connecting Across Concepts; Principled Explaining; Hypothesis Testing; Applying; Revising Thinking; Sustaining Focus</x:v>
      </x:c>
      <x:c r="E6" s="155" t="str">
        <x:v>https://apstudents.collegeboard.org/courses/ap-research</x:v>
      </x:c>
      <x:c r="F6" s="155" t="str"/>
    </x:row>
    <x:row r="7" ht="72" customHeight="1">
      <x:c r="A7" s="153" t="str">
        <x:v>English</x:v>
      </x:c>
      <x:c r="B7" s="153" t="str">
        <x:v>AP English Language and Composition</x:v>
      </x:c>
      <x:c r="C7" s="153" t="str">
        <x:v>Analyze rhetoric, evaluate and synthesize sources, build evidence-based arguments, and revise writing.</x:v>
      </x:c>
      <x:c r="D7" s="153" t="str">
        <x:v>Meaning-Making; Purposeful Attending; Elaborating; Connecting Across Concepts; Contrasting Cases; Principled Explaining; Revising Thinking</x:v>
      </x:c>
      <x:c r="E7" s="153" t="str">
        <x:v>https://apstudents.collegeboard.org/courses/ap-english-language-and-composition</x:v>
      </x:c>
      <x:c r="F7" s="153" t="str"/>
    </x:row>
    <x:row r="8" ht="72" customHeight="1">
      <x:c r="A8" s="155" t="str">
        <x:v>English</x:v>
      </x:c>
      <x:c r="B8" s="155" t="str">
        <x:v>AP English Literature and Composition</x:v>
      </x:c>
      <x:c r="C8" s="155" t="str">
        <x:v>Read closely, interpret purposeful language, develop claims, and support literary arguments.</x:v>
      </x:c>
      <x:c r="D8" s="155" t="str">
        <x:v>Meaning-Making; Purposeful Attending; Elaborating; Connecting Across Concepts; Analogical Reasoning; Principled Explaining</x:v>
      </x:c>
      <x:c r="E8" s="155" t="str">
        <x:v>https://apstudents.collegeboard.org/courses/ap-english-literature-and-composition</x:v>
      </x:c>
      <x:c r="F8" s="155" t="str"/>
    </x:row>
    <x:row r="9" ht="72" customHeight="1">
      <x:c r="A9" s="153" t="str">
        <x:v>Visual Arts</x:v>
      </x:c>
      <x:c r="B9" s="153" t="str">
        <x:v>AP 2-D Art and Design</x:v>
      </x:c>
      <x:c r="C9" s="153" t="str">
        <x:v>Develop an inquiry through practice, experimentation, evaluation, communication, and revision.</x:v>
      </x:c>
      <x:c r="D9" s="153" t="str">
        <x:v>Questioning Deeply; Applying; Revising Thinking</x:v>
      </x:c>
      <x:c r="E9" s="153" t="str">
        <x:v>https://apstudents.collegeboard.org/courses/ap-2-d-art-and-design</x:v>
      </x:c>
      <x:c r="F9" s="153" t="str"/>
    </x:row>
    <x:row r="10" ht="72" customHeight="1">
      <x:c r="A10" s="155" t="str">
        <x:v>Visual Arts</x:v>
      </x:c>
      <x:c r="B10" s="155" t="str">
        <x:v>AP 3-D Art and Design</x:v>
      </x:c>
      <x:c r="C10" s="155" t="str">
        <x:v>Develop an inquiry through practice, experimentation, evaluation, communication, and revision.</x:v>
      </x:c>
      <x:c r="D10" s="155" t="str">
        <x:v>Questioning Deeply; Applying; Revising Thinking</x:v>
      </x:c>
      <x:c r="E10" s="155" t="str">
        <x:v>https://apstudents.collegeboard.org/courses/ap-3-d-art-and-design</x:v>
      </x:c>
      <x:c r="F10" s="155" t="str"/>
    </x:row>
    <x:row r="11" ht="72" customHeight="1">
      <x:c r="A11" s="153" t="str">
        <x:v>Visual Arts</x:v>
      </x:c>
      <x:c r="B11" s="153" t="str">
        <x:v>AP Art History</x:v>
      </x:c>
      <x:c r="C11" s="153" t="str">
        <x:v>Evaluate works across cultures, connect traditions, and develop and support interpretations.</x:v>
      </x:c>
      <x:c r="D11" s="153" t="str">
        <x:v>Meaning-Making; Connecting Across Concepts; Contrasting Cases; Principled Explaining</x:v>
      </x:c>
      <x:c r="E11" s="153" t="str">
        <x:v>https://apstudents.collegeboard.org/courses/ap-art-history</x:v>
      </x:c>
      <x:c r="F11" s="153" t="str"/>
    </x:row>
    <x:row r="12" ht="72" customHeight="1">
      <x:c r="A12" s="155" t="str">
        <x:v>Visual Arts</x:v>
      </x:c>
      <x:c r="B12" s="155" t="str">
        <x:v>AP Drawing</x:v>
      </x:c>
      <x:c r="C12" s="155" t="str">
        <x:v>Develop an inquiry through practice, experimentation, evaluation, communication, and revision.</x:v>
      </x:c>
      <x:c r="D12" s="155" t="str">
        <x:v>Questioning Deeply; Applying; Revising Thinking</x:v>
      </x:c>
      <x:c r="E12" s="155" t="str">
        <x:v>https://apstudents.collegeboard.org/courses/ap-drawing</x:v>
      </x:c>
      <x:c r="F12" s="155" t="str"/>
    </x:row>
    <x:row r="13" ht="72" customHeight="1">
      <x:c r="A13" s="153" t="str">
        <x:v>Mathematics &amp; Computer Science</x:v>
      </x:c>
      <x:c r="B13" s="153" t="str">
        <x:v>AP Calculus AB</x:v>
      </x:c>
      <x:c r="C13" s="153" t="str">
        <x:v>Connect representations, apply procedures, justify reasoning, and communicate solutions precisely.</x:v>
      </x:c>
      <x:c r="D13" s="153" t="str">
        <x:v>Connecting Across Concepts; Principled Explaining; Applying</x:v>
      </x:c>
      <x:c r="E13" s="153" t="str">
        <x:v>https://apstudents.collegeboard.org/courses/ap-calculus-ab</x:v>
      </x:c>
      <x:c r="F13" s="153" t="str"/>
    </x:row>
    <x:row r="14" ht="72" customHeight="1">
      <x:c r="A14" s="155" t="str">
        <x:v>Mathematics &amp; Computer Science</x:v>
      </x:c>
      <x:c r="B14" s="155" t="str">
        <x:v>AP Calculus BC</x:v>
      </x:c>
      <x:c r="C14" s="155" t="str">
        <x:v>Connect representations, apply procedures, justify reasoning, and communicate solutions precisely.</x:v>
      </x:c>
      <x:c r="D14" s="155" t="str">
        <x:v>Connecting Across Concepts; Principled Explaining; Applying</x:v>
      </x:c>
      <x:c r="E14" s="155" t="str">
        <x:v>https://apstudents.collegeboard.org/courses/ap-calculus-bc</x:v>
      </x:c>
      <x:c r="F14" s="155" t="str"/>
    </x:row>
    <x:row r="15" ht="72" customHeight="1">
      <x:c r="A15" s="153" t="str">
        <x:v>Mathematics &amp; Computer Science</x:v>
      </x:c>
      <x:c r="B15" s="153" t="str">
        <x:v>AP Computer Science A</x:v>
      </x:c>
      <x:c r="C15" s="153" t="str">
        <x:v>Design algorithms, implement solutions, test and correct code, and explain how programs work.</x:v>
      </x:c>
      <x:c r="D15" s="153" t="str">
        <x:v>Principled Explaining; Applying; Error Analyzing; Revising Thinking</x:v>
      </x:c>
      <x:c r="E15" s="153" t="str">
        <x:v>https://apstudents.collegeboard.org/courses/ap-computer-science-a</x:v>
      </x:c>
      <x:c r="F15" s="153" t="str"/>
    </x:row>
    <x:row r="16" ht="72" customHeight="1">
      <x:c r="A16" s="155" t="str">
        <x:v>Mathematics &amp; Computer Science</x:v>
      </x:c>
      <x:c r="B16" s="155" t="str">
        <x:v>AP Precalculus</x:v>
      </x:c>
      <x:c r="C16" s="155" t="str">
        <x:v>Translate representations, apply functions, provide rationales, and communicate with precision.</x:v>
      </x:c>
      <x:c r="D16" s="155" t="str">
        <x:v>Connecting Across Concepts; Principled Explaining; Applying</x:v>
      </x:c>
      <x:c r="E16" s="155" t="str">
        <x:v>https://apstudents.collegeboard.org/courses/ap-precalculus</x:v>
      </x:c>
      <x:c r="F16" s="155" t="str"/>
    </x:row>
    <x:row r="17" ht="72" customHeight="1">
      <x:c r="A17" s="153" t="str">
        <x:v>Mathematics &amp; Computer Science</x:v>
      </x:c>
      <x:c r="B17" s="153" t="str">
        <x:v>AP Statistics</x:v>
      </x:c>
      <x:c r="C17" s="153" t="str">
        <x:v>Select methods, analyze relationships, model uncertainty, draw conclusions, and justify claims.</x:v>
      </x:c>
      <x:c r="D17" s="153" t="str">
        <x:v>Connecting Across Concepts; Principled Explaining; Predicting; Hypothesis Testing; Applying; Calibrating</x:v>
      </x:c>
      <x:c r="E17" s="153" t="str">
        <x:v>https://apstudents.collegeboard.org/courses/ap-statistics</x:v>
      </x:c>
      <x:c r="F17" s="153" t="str"/>
    </x:row>
    <x:row r="18" ht="72" customHeight="1">
      <x:c r="A18" s="155" t="str">
        <x:v>Science</x:v>
      </x:c>
      <x:c r="B18" s="155" t="str">
        <x:v>AP Biology</x:v>
      </x:c>
      <x:c r="C18" s="155" t="str">
        <x:v>Design experiments, test predictions, analyze data, draw conclusions, and support scientific claims.</x:v>
      </x:c>
      <x:c r="D18" s="155" t="str">
        <x:v>Connecting Across Concepts; Principled Explaining; Predicting; Hypothesis Testing; Applying</x:v>
      </x:c>
      <x:c r="E18" s="155" t="str">
        <x:v>https://apstudents.collegeboard.org/courses/ap-biology</x:v>
      </x:c>
      <x:c r="F18" s="155" t="str"/>
    </x:row>
    <x:row r="19" ht="72" customHeight="1">
      <x:c r="A19" s="153" t="str">
        <x:v>Science</x:v>
      </x:c>
      <x:c r="B19" s="153" t="str">
        <x:v>AP Chemistry</x:v>
      </x:c>
      <x:c r="C19" s="153" t="str">
        <x:v>Test predictions, model phenomena, explain structure-property relationships, analyze error, and support claims.</x:v>
      </x:c>
      <x:c r="D19" s="153" t="str">
        <x:v>Connecting Across Concepts; Principled Explaining; Predicting; Hypothesis Testing; Applying; Error Analyzing</x:v>
      </x:c>
      <x:c r="E19" s="153" t="str">
        <x:v>https://apstudents.collegeboard.org/courses/ap-chemistry</x:v>
      </x:c>
      <x:c r="F19" s="153" t="str"/>
    </x:row>
    <x:row r="20" ht="72" customHeight="1">
      <x:c r="A20" s="155" t="str">
        <x:v>Science</x:v>
      </x:c>
      <x:c r="B20" s="155" t="str">
        <x:v>AP Environmental Science</x:v>
      </x:c>
      <x:c r="C20" s="155" t="str">
        <x:v>Explain systems, analyze data, apply quantitative methods, identify hypotheses, and propose evidence-based solutions.</x:v>
      </x:c>
      <x:c r="D20" s="155" t="str">
        <x:v>Meaning-Making; Connecting Across Concepts; Principled Explaining; Hypothesis Testing; Applying</x:v>
      </x:c>
      <x:c r="E20" s="155" t="str">
        <x:v>https://apstudents.collegeboard.org/courses/ap-environmental-science</x:v>
      </x:c>
      <x:c r="F20" s="155" t="str"/>
    </x:row>
    <x:row r="21" ht="72" customHeight="1">
      <x:c r="A21" s="153" t="str">
        <x:v>Science</x:v>
      </x:c>
      <x:c r="B21" s="153" t="str">
        <x:v>AP Physics 1</x:v>
      </x:c>
      <x:c r="C21" s="153" t="str">
        <x:v>Represent phenomena, derive and predict, analyze experiments and data, and support claims.</x:v>
      </x:c>
      <x:c r="D21" s="153" t="str">
        <x:v>Connecting Across Concepts; Principled Explaining; Predicting; Hypothesis Testing; Applying</x:v>
      </x:c>
      <x:c r="E21" s="153" t="str">
        <x:v>https://apstudents.collegeboard.org/courses/ap-physics-1-algebra-based</x:v>
      </x:c>
      <x:c r="F21" s="153" t="str"/>
    </x:row>
    <x:row r="22" ht="72" customHeight="1">
      <x:c r="A22" s="155" t="str">
        <x:v>Science</x:v>
      </x:c>
      <x:c r="B22" s="155" t="str">
        <x:v>AP Physics 2</x:v>
      </x:c>
      <x:c r="C22" s="155" t="str">
        <x:v>Represent phenomena, derive and predict, analyze experiments and data, and support claims.</x:v>
      </x:c>
      <x:c r="D22" s="155" t="str">
        <x:v>Connecting Across Concepts; Principled Explaining; Predicting; Hypothesis Testing; Applying</x:v>
      </x:c>
      <x:c r="E22" s="155" t="str">
        <x:v>https://apstudents.collegeboard.org/courses/ap-physics-2-algebra-based</x:v>
      </x:c>
      <x:c r="F22" s="155" t="str"/>
    </x:row>
    <x:row r="23" ht="72" customHeight="1">
      <x:c r="A23" s="153" t="str">
        <x:v>Social Sciences</x:v>
      </x:c>
      <x:c r="B23" s="153" t="str">
        <x:v>AP Psychology</x:v>
      </x:c>
      <x:c r="C23" s="153" t="str">
        <x:v>Connect theories to real-life scenarios, interpret data, and analyze psychological research.</x:v>
      </x:c>
      <x:c r="D23" s="153" t="str">
        <x:v>Meaning-Making; Connecting Across Concepts; Hypothesis Testing; Applying</x:v>
      </x:c>
      <x:c r="E23" s="153" t="str">
        <x:v>https://apstudents.collegeboard.org/courses/ap-psychology</x:v>
      </x:c>
      <x:c r="F23" s="153" t="str"/>
    </x:row>
    <x:row r="24" ht="72" customHeight="1">
      <x:c r="A24" s="155" t="str">
        <x:v>Social Sciences</x:v>
      </x:c>
      <x:c r="B24" s="155" t="str">
        <x:v>AP World History: Modern</x:v>
      </x:c>
      <x:c r="C24" s="155" t="str">
        <x:v>Evaluate sources, analyze reasoning, contextualize and connect developments, and support historical claims.</x:v>
      </x:c>
      <x:c r="D24" s="155" t="str">
        <x:v>Meaning-Making; Connecting Across Concepts; Contrasting Cases; Principled Explaining</x:v>
      </x:c>
      <x:c r="E24" s="155" t="str">
        <x:v>https://apstudents.collegeboard.org/courses/ap-world-history-modern</x:v>
      </x:c>
      <x:c r="F24" s="155" t="str"/>
    </x:row>
    <x:row r="25" ht="72" customHeight="1">
      <x:c r="A25" s="153" t="str">
        <x:v>Social Sciences</x:v>
      </x:c>
      <x:c r="B25" s="153" t="str">
        <x:v>AP Microeconomics &amp; Macroeconomics</x:v>
      </x:c>
      <x:c r="C25" s="153" t="str">
        <x:v>Define and connect economic models, explain outcomes, predict changes, and represent situations graphically.</x:v>
      </x:c>
      <x:c r="D25" s="153" t="str">
        <x:v>Connecting Across Concepts; Principled Explaining; Predicting; Applying</x:v>
      </x:c>
      <x:c r="E25" s="153" t="str">
        <x:v>https://apstudents.collegeboard.org/courses/ap-microeconomics</x:v>
      </x:c>
      <x:c r="F25" s="153" t="str">
        <x:v>https://apstudents.collegeboard.org/courses/ap-macroeconomics</x:v>
      </x:c>
    </x:row>
    <x:row r="26" ht="72" customHeight="1">
      <x:c r="A26" s="155" t="str">
        <x:v>Social Sciences</x:v>
      </x:c>
      <x:c r="B26" s="155" t="str">
        <x:v>AP U.S. History</x:v>
      </x:c>
      <x:c r="C26" s="155" t="str">
        <x:v>Evaluate sources, analyze reasoning, contextualize and connect developments, and support historical claims.</x:v>
      </x:c>
      <x:c r="D26" s="155" t="str">
        <x:v>Meaning-Making; Connecting Across Concepts; Contrasting Cases; Principled Explaining</x:v>
      </x:c>
      <x:c r="E26" s="155" t="str">
        <x:v>https://apstudents.collegeboard.org/courses/ap-united-states-history</x:v>
      </x:c>
      <x:c r="F26" s="155" t="str"/>
    </x:row>
    <x:row r="27" ht="72" customHeight="1">
      <x:c r="A27" s="153" t="str">
        <x:v>World Languages</x:v>
      </x:c>
      <x:c r="B27" s="153" t="str">
        <x:v>AP Chinese Language and Culture</x:v>
      </x:c>
      <x:c r="C27" s="153" t="str">
        <x:v>Interpret spoken and written Chinese; converse, present, and write for real-life and cultural contexts.</x:v>
      </x:c>
      <x:c r="D27" s="153" t="str">
        <x:v>Meaning-Making; Purposeful Attending; Applying; Reasoning Aloud</x:v>
      </x:c>
      <x:c r="E27" s="153" t="str">
        <x:v>https://apstudents.collegeboard.org/courses/ap-chinese-language-and-culture</x:v>
      </x:c>
      <x:c r="F27" s="153" t="str"/>
    </x:row>
    <x:row r="28" ht="72" customHeight="1">
      <x:c r="A28" s="156" t="str">
        <x:v>World Languages</x:v>
      </x:c>
      <x:c r="B28" s="156" t="str">
        <x:v>AP Spanish Language and Culture</x:v>
      </x:c>
      <x:c r="C28" s="156" t="str">
        <x:v>Interpret spoken and written Spanish; converse, present, and write arguments in cultural contexts.</x:v>
      </x:c>
      <x:c r="D28" s="156" t="str">
        <x:v>Meaning-Making; Purposeful Attending; Applying; Reasoning Aloud</x:v>
      </x:c>
      <x:c r="E28" s="156" t="str">
        <x:v>https://apstudents.collegeboard.org/courses/ap-spanish-language-and-culture</x:v>
      </x:c>
      <x:c r="F28" s="156" t="str"/>
    </x:row>
    <x:row r="29" ht="72" customHeight="1"/>
    <x:row r="30" ht="22" customHeight="1">
      <x:c r="A30" s="158" t="str">
        <x:v>SIS source</x:v>
      </x:c>
      <x:c r="B30" s="158" t="str">
        <x:v>Seoul International School High School Academics</x:v>
      </x:c>
      <x:c r="C30" s="158" t="str">
        <x:v>Lists the AP offerings used in this workbook.</x:v>
      </x:c>
      <x:c r="D30" s="158" t="str"/>
      <x:c r="E30" s="158" t="str">
        <x:v>https://www.siskorea.org/our-schools/high-school/high-school-academics</x:v>
      </x:c>
      <x:c r="F30" s="158" t="str"/>
    </x:row>
  </x:sheetData>
  <x:mergeCells>
    <x:mergeCell ref="A1:F2"/>
    <x:mergeCell ref="A3:F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6" hidden="0" customWidth="1"/>
    <x:col min="3" max="3" width="28" hidden="0" customWidth="1"/>
    <x:col min="4" max="4" width="20" hidden="0" customWidth="1"/>
    <x:col min="5" max="5" width="48" hidden="0" customWidth="1"/>
    <x:col min="6" max="6" width="55" hidden="0" customWidth="1"/>
  </x:cols>
  <x:sheetData>
    <x:row r="1" ht="34" customHeight="1">
      <x:c r="A1" s="4" t="str">
        <x:v>SIS Habit Guide for AP Crosswalking</x:v>
      </x:c>
    </x:row>
    <x:row r="2" ht="34" customHeight="1"/>
    <x:row r="3" ht="30" customHeight="1">
      <x:c r="A3" s="7" t="str">
        <x:v>The direct/equivalent classification answers whether public AP materials name a closely corresponding disciplinary practice—not whether the habit matters instructionally.</x:v>
      </x:c>
      <x:c r="B3" s="7"/>
      <x:c r="C3" s="7"/>
      <x:c r="D3" s="7"/>
      <x:c r="E3" s="7"/>
      <x:c r="F3" s="7"/>
    </x:row>
    <x:row r="4" ht="34" customHeight="1">
      <x:c r="A4" s="60" t="str">
        <x:v>Domain</x:v>
      </x:c>
      <x:c r="B4" s="60" t="str">
        <x:v>No.</x:v>
      </x:c>
      <x:c r="C4" s="60" t="str">
        <x:v>SIS Thinking Habit</x:v>
      </x:c>
      <x:c r="D4" s="60" t="str">
        <x:v>AP language status</x:v>
      </x:c>
      <x:c r="E4" s="60" t="str">
        <x:v>Concise SIS meaning</x:v>
      </x:c>
      <x:c r="F4" s="60" t="str">
        <x:v>Crosswalk interpretation</x:v>
      </x:c>
    </x:row>
    <x:row r="5" ht="46" customHeight="1">
      <x:c r="A5" s="159" t="str">
        <x:v>I</x:v>
      </x:c>
      <x:c r="B5" s="159" t="n">
        <x:v>1</x:v>
      </x:c>
      <x:c r="C5" s="159" t="str">
        <x:v>Prior Knowledge Activating</x:v>
      </x:c>
      <x:c r="D5" s="161" t="str">
        <x:v>Enabling / implicit</x:v>
      </x:c>
      <x:c r="E5" s="152" t="str">
        <x:v>Connect new information to what is already known.</x:v>
      </x:c>
      <x:c r="F5" s="152" t="str">
        <x:v>The habit supports AP learning or appears structurally, but is rarely stated as a public AP skill outcome.</x:v>
      </x:c>
    </x:row>
    <x:row r="6" ht="46" customHeight="1">
      <x:c r="A6" s="162" t="str">
        <x:v>I</x:v>
      </x:c>
      <x:c r="B6" s="162" t="n">
        <x:v>2</x:v>
      </x:c>
      <x:c r="C6" s="162" t="str">
        <x:v>Meaning-Making</x:v>
      </x:c>
      <x:c r="D6" s="164" t="str">
        <x:v>Direct/equivalent</x:v>
      </x:c>
      <x:c r="E6" s="153" t="str">
        <x:v>Attribute significance and relevance rather than process isolated facts.</x:v>
      </x:c>
      <x:c r="F6" s="153" t="str">
        <x:v>Official AP course language repeatedly names a close disciplinary equivalent in one or more SIS offerings.</x:v>
      </x:c>
    </x:row>
    <x:row r="7" ht="46" customHeight="1">
      <x:c r="A7" s="162" t="str">
        <x:v>I</x:v>
      </x:c>
      <x:c r="B7" s="162" t="n">
        <x:v>3</x:v>
      </x:c>
      <x:c r="C7" s="162" t="str">
        <x:v>Purposeful Attending</x:v>
      </x:c>
      <x:c r="D7" s="164" t="str">
        <x:v>Direct/equivalent</x:v>
      </x:c>
      <x:c r="E7" s="153" t="str">
        <x:v>Direct limited attention toward the most important content.</x:v>
      </x:c>
      <x:c r="F7" s="153" t="str">
        <x:v>Official AP course language repeatedly names a close disciplinary equivalent in one or more SIS offerings.</x:v>
      </x:c>
    </x:row>
    <x:row r="8" ht="46" customHeight="1">
      <x:c r="A8" s="162" t="str">
        <x:v>I</x:v>
      </x:c>
      <x:c r="B8" s="162" t="n">
        <x:v>4</x:v>
      </x:c>
      <x:c r="C8" s="162" t="str">
        <x:v>Productive Struggling</x:v>
      </x:c>
      <x:c r="D8" s="166" t="str">
        <x:v>Enabling / implicit</x:v>
      </x:c>
      <x:c r="E8" s="153" t="str">
        <x:v>Persist through a calibrated period of not yet knowing.</x:v>
      </x:c>
      <x:c r="F8" s="153" t="str">
        <x:v>The habit supports AP learning or appears structurally, but is rarely stated as a public AP skill outcome.</x:v>
      </x:c>
    </x:row>
    <x:row r="9" ht="46" customHeight="1">
      <x:c r="A9" s="162" t="str">
        <x:v>I</x:v>
      </x:c>
      <x:c r="B9" s="162" t="n">
        <x:v>5</x:v>
      </x:c>
      <x:c r="C9" s="162" t="str">
        <x:v>Questioning Deeply</x:v>
      </x:c>
      <x:c r="D9" s="164" t="str">
        <x:v>Direct/equivalent</x:v>
      </x:c>
      <x:c r="E9" s="153" t="str">
        <x:v>Press beyond what toward how, why, and what follows.</x:v>
      </x:c>
      <x:c r="F9" s="153" t="str">
        <x:v>Official AP course language repeatedly names a close disciplinary equivalent in one or more SIS offerings.</x:v>
      </x:c>
    </x:row>
    <x:row r="10" ht="46" customHeight="1">
      <x:c r="A10" s="167" t="str">
        <x:v>II</x:v>
      </x:c>
      <x:c r="B10" s="167" t="n">
        <x:v>6</x:v>
      </x:c>
      <x:c r="C10" s="167" t="str">
        <x:v>Elaborating</x:v>
      </x:c>
      <x:c r="D10" s="164" t="str">
        <x:v>Direct/equivalent</x:v>
      </x:c>
      <x:c r="E10" s="153" t="str">
        <x:v>Add explanation, context, and detail that deepen understanding.</x:v>
      </x:c>
      <x:c r="F10" s="153" t="str">
        <x:v>Official AP course language repeatedly names a close disciplinary equivalent in one or more SIS offerings.</x:v>
      </x:c>
    </x:row>
    <x:row r="11" ht="46" customHeight="1">
      <x:c r="A11" s="167" t="str">
        <x:v>II</x:v>
      </x:c>
      <x:c r="B11" s="167" t="n">
        <x:v>7</x:v>
      </x:c>
      <x:c r="C11" s="167" t="str">
        <x:v>Connecting Across Concepts</x:v>
      </x:c>
      <x:c r="D11" s="164" t="str">
        <x:v>Direct/equivalent</x:v>
      </x:c>
      <x:c r="E11" s="153" t="str">
        <x:v>Build relationships among ideas within and across domains.</x:v>
      </x:c>
      <x:c r="F11" s="153" t="str">
        <x:v>Official AP course language repeatedly names a close disciplinary equivalent in one or more SIS offerings.</x:v>
      </x:c>
    </x:row>
    <x:row r="12" ht="46" customHeight="1">
      <x:c r="A12" s="167" t="str">
        <x:v>II</x:v>
      </x:c>
      <x:c r="B12" s="167" t="n">
        <x:v>8</x:v>
      </x:c>
      <x:c r="C12" s="167" t="str">
        <x:v>Analogical Reasoning</x:v>
      </x:c>
      <x:c r="D12" s="166" t="str">
        <x:v>Enabling / implicit</x:v>
      </x:c>
      <x:c r="E12" s="153" t="str">
        <x:v>Use a familiar structure to illuminate an unfamiliar one.</x:v>
      </x:c>
      <x:c r="F12" s="153" t="str">
        <x:v>The habit supports AP learning or appears structurally, but is rarely stated as a public AP skill outcome.</x:v>
      </x:c>
    </x:row>
    <x:row r="13" ht="46" customHeight="1">
      <x:c r="A13" s="167" t="str">
        <x:v>II</x:v>
      </x:c>
      <x:c r="B13" s="167" t="n">
        <x:v>9</x:v>
      </x:c>
      <x:c r="C13" s="167" t="str">
        <x:v>Principled Explaining</x:v>
      </x:c>
      <x:c r="D13" s="164" t="str">
        <x:v>Direct/equivalent</x:v>
      </x:c>
      <x:c r="E13" s="153" t="str">
        <x:v>Explain the underlying principle, not only the procedure.</x:v>
      </x:c>
      <x:c r="F13" s="153" t="str">
        <x:v>Official AP course language repeatedly names a close disciplinary equivalent in one or more SIS offerings.</x:v>
      </x:c>
    </x:row>
    <x:row r="14" ht="46" customHeight="1">
      <x:c r="A14" s="167" t="str">
        <x:v>II</x:v>
      </x:c>
      <x:c r="B14" s="167" t="n">
        <x:v>10</x:v>
      </x:c>
      <x:c r="C14" s="167" t="str">
        <x:v>Contrasting Cases</x:v>
      </x:c>
      <x:c r="D14" s="164" t="str">
        <x:v>Direct/equivalent</x:v>
      </x:c>
      <x:c r="E14" s="153" t="str">
        <x:v>Compare related cases to sharpen boundaries and distinctions.</x:v>
      </x:c>
      <x:c r="F14" s="153" t="str">
        <x:v>Official AP course language repeatedly names a close disciplinary equivalent in one or more SIS offerings.</x:v>
      </x:c>
    </x:row>
    <x:row r="15" ht="46" customHeight="1">
      <x:c r="A15" s="168" t="str">
        <x:v>III</x:v>
      </x:c>
      <x:c r="B15" s="168" t="n">
        <x:v>11</x:v>
      </x:c>
      <x:c r="C15" s="168" t="str">
        <x:v>Effortful Recalling</x:v>
      </x:c>
      <x:c r="D15" s="166" t="str">
        <x:v>Enabling / implicit</x:v>
      </x:c>
      <x:c r="E15" s="153" t="str">
        <x:v>Reconstruct knowledge from memory to strengthen access.</x:v>
      </x:c>
      <x:c r="F15" s="153" t="str">
        <x:v>The habit supports AP learning or appears structurally, but is rarely stated as a public AP skill outcome.</x:v>
      </x:c>
    </x:row>
    <x:row r="16" ht="46" customHeight="1">
      <x:c r="A16" s="168" t="str">
        <x:v>III</x:v>
      </x:c>
      <x:c r="B16" s="168" t="n">
        <x:v>12</x:v>
      </x:c>
      <x:c r="C16" s="168" t="str">
        <x:v>Predicting</x:v>
      </x:c>
      <x:c r="D16" s="164" t="str">
        <x:v>Direct/equivalent</x:v>
      </x:c>
      <x:c r="E16" s="153" t="str">
        <x:v>Use existing knowledge to anticipate an outcome and justify it.</x:v>
      </x:c>
      <x:c r="F16" s="153" t="str">
        <x:v>Official AP course language repeatedly names a close disciplinary equivalent in one or more SIS offerings.</x:v>
      </x:c>
    </x:row>
    <x:row r="17" ht="46" customHeight="1">
      <x:c r="A17" s="168" t="str">
        <x:v>III</x:v>
      </x:c>
      <x:c r="B17" s="168" t="n">
        <x:v>13</x:v>
      </x:c>
      <x:c r="C17" s="168" t="str">
        <x:v>Hypothesis Testing</x:v>
      </x:c>
      <x:c r="D17" s="164" t="str">
        <x:v>Direct/equivalent</x:v>
      </x:c>
      <x:c r="E17" s="153" t="str">
        <x:v>Form a tentative explanation and test it against evidence.</x:v>
      </x:c>
      <x:c r="F17" s="153" t="str">
        <x:v>Official AP course language repeatedly names a close disciplinary equivalent in one or more SIS offerings.</x:v>
      </x:c>
    </x:row>
    <x:row r="18" ht="46" customHeight="1">
      <x:c r="A18" s="168" t="str">
        <x:v>III</x:v>
      </x:c>
      <x:c r="B18" s="168" t="n">
        <x:v>14</x:v>
      </x:c>
      <x:c r="C18" s="168" t="str">
        <x:v>Applying</x:v>
      </x:c>
      <x:c r="D18" s="164" t="str">
        <x:v>Direct/equivalent</x:v>
      </x:c>
      <x:c r="E18" s="153" t="str">
        <x:v>Use knowledge in a context different from where it was learned.</x:v>
      </x:c>
      <x:c r="F18" s="153" t="str">
        <x:v>Official AP course language repeatedly names a close disciplinary equivalent in one or more SIS offerings.</x:v>
      </x:c>
    </x:row>
    <x:row r="19" ht="46" customHeight="1">
      <x:c r="A19" s="168" t="str">
        <x:v>III</x:v>
      </x:c>
      <x:c r="B19" s="168" t="n">
        <x:v>15</x:v>
      </x:c>
      <x:c r="C19" s="168" t="str">
        <x:v>Error Analyzing</x:v>
      </x:c>
      <x:c r="D19" s="164" t="str">
        <x:v>Direct/equivalent</x:v>
      </x:c>
      <x:c r="E19" s="153" t="str">
        <x:v>Examine why an error occurred and what it reveals.</x:v>
      </x:c>
      <x:c r="F19" s="153" t="str">
        <x:v>Official AP course language repeatedly names a close disciplinary equivalent in one or more SIS offerings.</x:v>
      </x:c>
    </x:row>
    <x:row r="20" ht="46" customHeight="1">
      <x:c r="A20" s="169" t="str">
        <x:v>IV</x:v>
      </x:c>
      <x:c r="B20" s="169" t="n">
        <x:v>16</x:v>
      </x:c>
      <x:c r="C20" s="169" t="str">
        <x:v>Calibrating</x:v>
      </x:c>
      <x:c r="D20" s="166" t="str">
        <x:v>Enabling / implicit</x:v>
      </x:c>
      <x:c r="E20" s="153" t="str">
        <x:v>Judge accurately the gap between confidence and understanding.</x:v>
      </x:c>
      <x:c r="F20" s="153" t="str">
        <x:v>The habit supports AP learning or appears structurally, but is rarely stated as a public AP skill outcome.</x:v>
      </x:c>
    </x:row>
    <x:row r="21" ht="46" customHeight="1">
      <x:c r="A21" s="169" t="str">
        <x:v>IV</x:v>
      </x:c>
      <x:c r="B21" s="169" t="n">
        <x:v>17</x:v>
      </x:c>
      <x:c r="C21" s="169" t="str">
        <x:v>Revising Thinking</x:v>
      </x:c>
      <x:c r="D21" s="164" t="str">
        <x:v>Direct/equivalent</x:v>
      </x:c>
      <x:c r="E21" s="153" t="str">
        <x:v>Update understanding in response to evidence or feedback.</x:v>
      </x:c>
      <x:c r="F21" s="153" t="str">
        <x:v>Official AP course language repeatedly names a close disciplinary equivalent in one or more SIS offerings.</x:v>
      </x:c>
    </x:row>
    <x:row r="22" ht="46" customHeight="1">
      <x:c r="A22" s="169" t="str">
        <x:v>IV</x:v>
      </x:c>
      <x:c r="B22" s="169" t="n">
        <x:v>18</x:v>
      </x:c>
      <x:c r="C22" s="169" t="str">
        <x:v>Sustaining Focus</x:v>
      </x:c>
      <x:c r="D22" s="166" t="str">
        <x:v>Enabling / implicit</x:v>
      </x:c>
      <x:c r="E22" s="153" t="str">
        <x:v>Maintain attention through demanding cognitive work.</x:v>
      </x:c>
      <x:c r="F22" s="153" t="str">
        <x:v>The habit supports AP learning or appears structurally, but is rarely stated as a public AP skill outcome.</x:v>
      </x:c>
    </x:row>
    <x:row r="23" ht="46" customHeight="1">
      <x:c r="A23" s="169" t="str">
        <x:v>IV</x:v>
      </x:c>
      <x:c r="B23" s="169" t="n">
        <x:v>19</x:v>
      </x:c>
      <x:c r="C23" s="169" t="str">
        <x:v>Reasoning Aloud</x:v>
      </x:c>
      <x:c r="D23" s="164" t="str">
        <x:v>Direct/equivalent</x:v>
      </x:c>
      <x:c r="E23" s="153" t="str">
        <x:v>Make the path of thinking visible for feedback and revision.</x:v>
      </x:c>
      <x:c r="F23" s="153" t="str">
        <x:v>Official AP course language repeatedly names a close disciplinary equivalent in one or more SIS offerings.</x:v>
      </x:c>
    </x:row>
    <x:row r="24" ht="46" customHeight="1">
      <x:c r="A24" s="170" t="str">
        <x:v>IV</x:v>
      </x:c>
      <x:c r="B24" s="170" t="n">
        <x:v>20</x:v>
      </x:c>
      <x:c r="C24" s="170" t="str">
        <x:v>Intellectual Courage</x:v>
      </x:c>
      <x:c r="D24" s="172" t="str">
        <x:v>Enabling / implicit</x:v>
      </x:c>
      <x:c r="E24" s="154" t="str">
        <x:v>Engage with uncertainty, risk error, and change one’s mind publicly.</x:v>
      </x:c>
      <x:c r="F24" s="154" t="str">
        <x:v>The habit supports AP learning or appears structurally, but is rarely stated as a public AP skill outcome.</x:v>
      </x:c>
    </x:row>
  </x:sheetData>
  <x:mergeCells>
    <x:mergeCell ref="A1:F2"/>
    <x:mergeCell ref="A3:F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58" hidden="0" customWidth="1"/>
    <x:col min="3" max="3" width="4" hidden="0" customWidth="1"/>
    <x:col min="4" max="4" width="17" hidden="0" customWidth="1"/>
    <x:col min="5" max="5" width="17" hidden="0" customWidth="1"/>
    <x:col min="6" max="6" width="17" hidden="0" customWidth="1"/>
    <x:col min="7" max="7" width="17" hidden="0" customWidth="1"/>
    <x:col min="8" max="8" width="17" hidden="0" customWidth="1"/>
  </x:cols>
  <x:sheetData>
    <x:row r="1" ht="34" customHeight="1">
      <x:c r="A1" s="4" t="str">
        <x:v>Method, Scope, and Reading the Crosswalk</x:v>
      </x:c>
    </x:row>
    <x:row r="2" ht="34" customHeight="1"/>
    <x:row r="3" ht="30" customHeight="1">
      <x:c r="A3" s="7" t="str">
        <x:v>This is a leadership and curriculum-discussion tool. It identifies overlap in cognitive practices; it does not claim that SIS created AP practices or that College Board endorses the SIS framework.</x:v>
      </x:c>
      <x:c r="B3" s="7"/>
      <x:c r="C3" s="7"/>
      <x:c r="D3" s="7"/>
      <x:c r="E3" s="7"/>
      <x:c r="F3" s="7"/>
      <x:c r="G3" s="7"/>
      <x:c r="H3" s="7"/>
    </x:row>
    <x:row r="4" ht="24" customHeight="1">
      <x:c r="A4" s="174" t="str">
        <x:v>Score</x:v>
      </x:c>
      <x:c r="B4" s="174" t="str">
        <x:v>Meaning</x:v>
      </x:c>
      <x:c r="D4" s="180" t="str">
        <x:v>Key findings</x:v>
      </x:c>
      <x:c r="E4" s="180"/>
      <x:c r="F4" s="180"/>
      <x:c r="G4" s="180"/>
      <x:c r="H4" s="180"/>
    </x:row>
    <x:row r="5" ht="38" customHeight="1">
      <x:c r="A5" s="176" t="n">
        <x:v>3</x:v>
      </x:c>
      <x:c r="B5" s="153" t="str">
        <x:v>Direct / defining alignment: the AP overview explicitly requires a close equivalent and makes it central to disciplinary performance.</x:v>
      </x:c>
      <x:c r="D5" s="20" t="str">
        <x:v>20 / 20 habits have at least one defensible connection across SIS AP offerings.</x:v>
      </x:c>
      <x:c r="E5" s="20"/>
      <x:c r="F5" s="20"/>
      <x:c r="G5" s="20"/>
      <x:c r="H5" s="20"/>
    </x:row>
    <x:row r="6" ht="38" customHeight="1">
      <x:c r="A6" s="177" t="n">
        <x:v>2</x:v>
      </x:c>
      <x:c r="B6" s="153" t="str">
        <x:v>Clear supporting alignment: the equivalent practice appears explicitly but is not the defining center of the course.</x:v>
      </x:c>
      <x:c r="D6" s="20" t="str">
        <x:v>13 / 20 are directly mirrored by recurring AP skill language; 7 are mainly enabling learning behaviors or instructional conditions.</x:v>
      </x:c>
      <x:c r="E6" s="20"/>
      <x:c r="F6" s="20"/>
      <x:c r="G6" s="20"/>
      <x:c r="H6" s="20"/>
    </x:row>
    <x:row r="7" ht="38" customHeight="1">
      <x:c r="A7" s="178" t="n">
        <x:v>1</x:v>
      </x:c>
      <x:c r="B7" s="153" t="str">
        <x:v>Indirect / enabling alignment: the habit plausibly supports success or is built into the course structure, but is not named as an AP skill outcome.</x:v>
      </x:c>
      <x:c r="D7" s="20" t="str">
        <x:v>The broadest AP-wide convergence is around explaining with principles and evidence, applying knowledge, connecting ideas or representations, making meaning, and communicating reasoning. Inquiry, prediction, hypothesis testing, contrast, revision, and error analysis become especially strong in particular disciplines.</x:v>
      </x:c>
      <x:c r="E7" s="20"/>
      <x:c r="F7" s="20"/>
      <x:c r="G7" s="20"/>
      <x:c r="H7" s="20"/>
    </x:row>
    <x:row r="8" ht="38" customHeight="1">
      <x:c r="A8" s="179" t="n">
        <x:v>0</x:v>
      </x:c>
      <x:c r="B8" s="154" t="str">
        <x:v>Not evident in the public overview reviewed; this is not a claim that the habit is absent from SIS teaching or full AP materials.</x:v>
      </x:c>
      <x:c r="D8" s="20"/>
      <x:c r="E8" s="20"/>
      <x:c r="F8" s="20"/>
      <x:c r="G8" s="20"/>
      <x:c r="H8" s="20"/>
    </x:row>
    <x:row r="9" ht="24" customHeight="1"/>
    <x:row r="10" ht="24" customHeight="1">
      <x:c r="A10" s="180" t="str">
        <x:v>Scope decisions</x:v>
      </x:c>
      <x:c r="B10" s="180"/>
      <x:c r="C10" s="180"/>
      <x:c r="D10" s="180"/>
      <x:c r="E10" s="180"/>
      <x:c r="F10" s="180"/>
      <x:c r="G10" s="180"/>
      <x:c r="H10" s="180"/>
    </x:row>
    <x:row r="11" ht="48" customHeight="1">
      <x:c r="A11" s="181" t="str">
        <x:v>SIS offering count</x:v>
      </x:c>
      <x:c r="B11" s="152" t="str">
        <x:v>The SIS site states 24 AP offerings. AP Microeconomics and AP Macroeconomics are shown as one combined SIS course column but draw evidence from both College Board course frameworks.</x:v>
      </x:c>
      <x:c r="C11" s="152" t="str"/>
      <x:c r="D11" s="152" t="str"/>
      <x:c r="E11" s="152" t="str"/>
      <x:c r="F11" s="152" t="str"/>
      <x:c r="G11" s="152" t="str"/>
      <x:c r="H11" s="152" t="str"/>
    </x:row>
    <x:row r="12" ht="48" customHeight="1">
      <x:c r="A12" s="182" t="str">
        <x:v>Evidence base</x:v>
      </x:c>
      <x:c r="B12" s="153" t="str">
        <x:v>Official SIS High School Academics and Advanced Placement pages; official College Board AP Students course overviews and linked Course and Exam Description references.</x:v>
      </x:c>
      <x:c r="C12" s="153" t="str"/>
      <x:c r="D12" s="153" t="str"/>
      <x:c r="E12" s="153" t="str"/>
      <x:c r="F12" s="153" t="str"/>
      <x:c r="G12" s="153" t="str"/>
      <x:c r="H12" s="153" t="str"/>
    </x:row>
    <x:row r="13" ht="48" customHeight="1">
      <x:c r="A13" s="182" t="str">
        <x:v>Evidence date</x:v>
      </x:c>
      <x:c r="B13" s="153" t="str">
        <x:v>Public pages reviewed on 2 September 2026.</x:v>
      </x:c>
      <x:c r="C13" s="153" t="str"/>
      <x:c r="D13" s="153" t="str"/>
      <x:c r="E13" s="153" t="str"/>
      <x:c r="F13" s="153" t="str"/>
      <x:c r="G13" s="153" t="str"/>
      <x:c r="H13" s="153" t="str"/>
    </x:row>
    <x:row r="14" ht="48" customHeight="1">
      <x:c r="A14" s="182" t="str">
        <x:v>Unit of analysis</x:v>
      </x:c>
      <x:c r="B14" s="153" t="str">
        <x:v>The crosswalk assesses similarity in named cognitive practice, not content overlap, exam difficulty, instructional quality, or student performance.</x:v>
      </x:c>
      <x:c r="C14" s="153" t="str"/>
      <x:c r="D14" s="153" t="str"/>
      <x:c r="E14" s="153" t="str"/>
      <x:c r="F14" s="153" t="str"/>
      <x:c r="G14" s="153" t="str"/>
      <x:c r="H14" s="153" t="str"/>
    </x:row>
    <x:row r="15" ht="48" customHeight="1">
      <x:c r="A15" s="183" t="str">
        <x:v>Local refinement</x:v>
      </x:c>
      <x:c r="B15" s="154" t="str">
        <x:v>Departments can raise or lower a score after reviewing their current SIS syllabus, assessments, AP Audit materials, and classroom evidence.</x:v>
      </x:c>
      <x:c r="C15" s="154" t="str"/>
      <x:c r="D15" s="154" t="str"/>
      <x:c r="E15" s="154" t="str"/>
      <x:c r="F15" s="154" t="str"/>
      <x:c r="G15" s="154" t="str"/>
      <x:c r="H15" s="154" t="str"/>
    </x:row>
    <x:row r="16" ht="24" customHeight="1"/>
    <x:row r="17" ht="24" customHeight="1">
      <x:c r="A17" s="180" t="str">
        <x:v>Primary sources</x:v>
      </x:c>
      <x:c r="B17" s="180"/>
      <x:c r="C17" s="180"/>
      <x:c r="D17" s="180"/>
      <x:c r="E17" s="180"/>
      <x:c r="F17" s="180"/>
      <x:c r="G17" s="180"/>
      <x:c r="H17" s="180"/>
    </x:row>
    <x:row r="18" ht="24" customHeight="1">
      <x:c r="A18" s="181" t="str">
        <x:v>SIS High School Academics</x:v>
      </x:c>
      <x:c r="B18" s="152" t="str">
        <x:v>https://www.siskorea.org/our-schools/high-school/high-school-academics</x:v>
      </x:c>
      <x:c r="C18" s="152" t="str"/>
      <x:c r="D18" s="152" t="str"/>
      <x:c r="E18" s="152" t="str"/>
      <x:c r="F18" s="152" t="str"/>
      <x:c r="G18" s="152" t="str"/>
      <x:c r="H18" s="152" t="str"/>
    </x:row>
    <x:row r="19" ht="24" customHeight="1">
      <x:c r="A19" s="182" t="str">
        <x:v>SIS Advanced Placement overview</x:v>
      </x:c>
      <x:c r="B19" s="153" t="str">
        <x:v>https://www.siskorea.org/our-schools/high-school/advanced-placement</x:v>
      </x:c>
      <x:c r="C19" s="153" t="str"/>
      <x:c r="D19" s="153" t="str"/>
      <x:c r="E19" s="153" t="str"/>
      <x:c r="F19" s="153" t="str"/>
      <x:c r="G19" s="153" t="str"/>
      <x:c r="H19" s="153" t="str"/>
    </x:row>
    <x:row r="20" ht="24" customHeight="1">
      <x:c r="A20" s="182" t="str">
        <x:v>College Board AP courses index</x:v>
      </x:c>
      <x:c r="B20" s="153" t="str">
        <x:v>https://apstudents.collegeboard.org/course-index-page</x:v>
      </x:c>
      <x:c r="C20" s="153" t="str"/>
      <x:c r="D20" s="153" t="str"/>
      <x:c r="E20" s="153" t="str"/>
      <x:c r="F20" s="153" t="str"/>
      <x:c r="G20" s="153" t="str"/>
      <x:c r="H20" s="153" t="str"/>
    </x:row>
    <x:row r="21" ht="24" customHeight="1">
      <x:c r="A21" s="183" t="str">
        <x:v>Course-level sources</x:v>
      </x:c>
      <x:c r="B21" s="154" t="str">
        <x:v>See the Course Evidence sheet for the official page used for each SIS AP offering.</x:v>
      </x:c>
      <x:c r="C21" s="154" t="str"/>
      <x:c r="D21" s="154" t="str"/>
      <x:c r="E21" s="154" t="str"/>
      <x:c r="F21" s="154" t="str"/>
      <x:c r="G21" s="154" t="str"/>
      <x:c r="H21" s="154" t="str"/>
    </x:row>
  </x:sheetData>
  <x:mergeCells>
    <x:mergeCell ref="A1:H2"/>
    <x:mergeCell ref="A3:H3"/>
    <x:mergeCell ref="D4:H4"/>
    <x:mergeCell ref="D5:H5"/>
    <x:mergeCell ref="D6:H6"/>
    <x:mergeCell ref="D7:H8"/>
    <x:mergeCell ref="A10:H10"/>
    <x:mergeCell ref="B11:H11"/>
    <x:mergeCell ref="B12:H12"/>
    <x:mergeCell ref="B13:H13"/>
    <x:mergeCell ref="B14:H14"/>
    <x:mergeCell ref="B15:H15"/>
    <x:mergeCell ref="A17:H17"/>
    <x:mergeCell ref="B18:H18"/>
    <x:mergeCell ref="B19:H19"/>
    <x:mergeCell ref="B20:H20"/>
    <x:mergeCell ref="B21:H21"/>
  </x:mergeCells>
  <x:pageMargins left="0.7" right="0.7" top="0.75" bottom="0.75" header="0.3" footer="0.3"/>
</x:worksheet>
</file>